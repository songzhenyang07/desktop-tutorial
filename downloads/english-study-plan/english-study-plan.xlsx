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先看这里" sheetId="1" state="visible" r:id="rId1"/>
    <sheet xmlns:r="http://schemas.openxmlformats.org/officeDocument/2006/relationships" name="28天细化计划" sheetId="2" state="visible" r:id="rId2"/>
    <sheet xmlns:r="http://schemas.openxmlformats.org/officeDocument/2006/relationships" name="每日打卡" sheetId="3" state="visible" r:id="rId3"/>
    <sheet xmlns:r="http://schemas.openxmlformats.org/officeDocument/2006/relationships" name="错题复习表" sheetId="4" state="visible" r:id="rId4"/>
    <sheet xmlns:r="http://schemas.openxmlformats.org/officeDocument/2006/relationships" name="每周复盘" sheetId="5" state="visible" r:id="rId5"/>
  </sheets>
  <definedNames>
    <definedName name="_xlnm.Print_Titles" localSheetId="0">'先看这里'!$1:$4</definedName>
    <definedName name="_xlnm._FilterDatabase" localSheetId="1" hidden="1">'28天细化计划'!$A$3:$K$31</definedName>
    <definedName name="_xlnm.Print_Titles" localSheetId="1">'28天细化计划'!$1:$3</definedName>
    <definedName name="_xlnm.Print_Area" localSheetId="1">'28天细化计划'!$A$1:$K$31</definedName>
    <definedName name="_xlnm._FilterDatabase" localSheetId="2" hidden="1">'每日打卡'!$A$3:$L$31</definedName>
    <definedName name="_xlnm.Print_Titles" localSheetId="2">'每日打卡'!$1:$3</definedName>
    <definedName name="_xlnm.Print_Area" localSheetId="2">'每日打卡'!$A$1:$L$31</definedName>
    <definedName name="_xlnm._FilterDatabase" localSheetId="3" hidden="1">'错题复习表'!$A$3:$K$103</definedName>
    <definedName name="_xlnm.Print_Titles" localSheetId="3">'错题复习表'!$1:$3</definedName>
    <definedName name="_xlnm.Print_Area" localSheetId="4">'每周复盘'!$A$1:$I$8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67780"/>
      <sz val="10"/>
    </font>
    <font>
      <name val="Microsoft YaHei"/>
      <b val="1"/>
      <color rgb="00FFFFFF"/>
      <sz val="10"/>
    </font>
    <font>
      <name val="Microsoft YaHei"/>
      <color rgb="0023313A"/>
      <sz val="10"/>
    </font>
    <font>
      <name val="Microsoft YaHei"/>
      <color rgb="0023313A"/>
      <sz val="9"/>
    </font>
  </fonts>
  <fills count="7">
    <fill>
      <patternFill/>
    </fill>
    <fill>
      <patternFill patternType="gray125"/>
    </fill>
    <fill>
      <patternFill patternType="solid">
        <fgColor rgb="00244760"/>
      </patternFill>
    </fill>
    <fill>
      <patternFill patternType="solid">
        <fgColor rgb="00EAF2F5"/>
      </patternFill>
    </fill>
    <fill>
      <patternFill patternType="solid">
        <fgColor rgb="002E7180"/>
      </patternFill>
    </fill>
    <fill>
      <patternFill patternType="solid">
        <fgColor rgb="00F7FAFB"/>
      </patternFill>
    </fill>
    <fill>
      <patternFill patternType="solid">
        <fgColor rgb="00E9F3EF"/>
      </patternFill>
    </fill>
  </fills>
  <borders count="3">
    <border>
      <left/>
      <right/>
      <top/>
      <bottom/>
      <diagonal/>
    </border>
    <border>
      <bottom style="medium">
        <color rgb="00244760"/>
      </bottom>
    </border>
    <border>
      <bottom style="thin">
        <color rgb="00D5DFE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164" fontId="5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vertical="top" wrapText="1"/>
    </xf>
    <xf numFmtId="164" fontId="5" fillId="5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center" vertical="top"/>
    </xf>
    <xf numFmtId="0" fontId="5" fillId="5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9" fontId="5" fillId="0" borderId="2" applyAlignment="1" pivotButton="0" quotePrefix="0" xfId="0">
      <alignment vertical="top" wrapText="1"/>
    </xf>
    <xf numFmtId="164" fontId="5" fillId="5" borderId="2" applyAlignment="1" pivotButton="0" quotePrefix="0" xfId="0">
      <alignment vertical="top" wrapText="1"/>
    </xf>
    <xf numFmtId="9" fontId="5" fillId="5" borderId="2" applyAlignment="1" pivotButton="0" quotePrefix="0" xfId="0">
      <alignment vertical="top" wrapText="1"/>
    </xf>
    <xf numFmtId="0" fontId="3" fillId="2" borderId="0" pivotButton="0" quotePrefix="0" xfId="0"/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DDF0DB"/>
        </patternFill>
      </fill>
    </dxf>
    <dxf>
      <fill>
        <patternFill patternType="solid">
          <fgColor rgb="00FFF0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760"/>
    <outlinePr summaryBelow="1" summaryRight="1"/>
    <pageSetUpPr fitToPage="1"/>
  </sheetPr>
  <dimension ref="A1:C13"/>
  <sheetViews>
    <sheetView showGridLines="0" zoomScale="8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  <col width="24" customWidth="1" min="3" max="3"/>
  </cols>
  <sheetData>
    <row r="1" ht="38" customHeight="1">
      <c r="A1" s="1" t="inlineStr">
        <is>
          <t>英语四周学习规划｜详细执行版</t>
        </is>
      </c>
    </row>
    <row r="2" ht="32" customHeight="1">
      <c r="A2" s="2" t="inlineStr">
        <is>
          <t>依据上传的六级与考研英语四周表细化；保留原周期 2026/10/19—2026/11/15 和每天 70–90 分钟上限。</t>
        </is>
      </c>
    </row>
    <row r="4" ht="32" customHeight="1">
      <c r="A4" s="3" t="inlineStr">
        <is>
          <t>模块</t>
        </is>
      </c>
      <c r="B4" s="3" t="inlineStr">
        <is>
          <t>执行说明</t>
        </is>
      </c>
      <c r="C4" s="3" t="inlineStr">
        <is>
          <t>验收方式</t>
        </is>
      </c>
    </row>
    <row r="5" ht="78" customHeight="1">
      <c r="A5" s="4" t="inlineStr">
        <is>
          <t>适用背景</t>
        </is>
      </c>
      <c r="B5" s="4" t="inlineStr">
        <is>
          <t>大二，已通过四级；准备六级；长期目标为2028年12月考研，意向上海半导体材料相关方向。具体院校考纲尚未确定，因此本阶段不提前押题或增加专业课任务。</t>
        </is>
      </c>
      <c r="C5" s="4" t="inlineStr">
        <is>
          <t>先完成四周基础循环，之后按目标院校当年考纲调整。</t>
        </is>
      </c>
    </row>
    <row r="6" ht="78" customHeight="1">
      <c r="A6" s="4" t="inlineStr">
        <is>
          <t>四周定位</t>
        </is>
      </c>
      <c r="B6" s="4" t="inlineStr">
        <is>
          <t>第1周建立真实基线；第2周练听力辨因、阅读找证据；第3周增加限时与完整输出；第4周用新题做复测。周重点不同，但每日核心动作保持稳定。</t>
        </is>
      </c>
      <c r="C6" s="4" t="inlineStr">
        <is>
          <t>新旧材料同类型、难度接近，避免因背过答案而虚高。</t>
        </is>
      </c>
    </row>
    <row r="7" ht="78" customHeight="1">
      <c r="A7" s="4" t="inlineStr">
        <is>
          <t>每周时间</t>
        </is>
      </c>
      <c r="B7" s="4" t="inlineStr">
        <is>
          <t>周一至周六每天75–90分钟；周日45分钟轻复盘；每周约8小时40分钟。每个学习日含15分钟词汇（星期日为抽测）、35–50分钟六级专项、15分钟考研基础、10分钟错题归因。</t>
        </is>
      </c>
      <c r="C7" s="4" t="inlineStr">
        <is>
          <t>计划时间只是上限安排，实际分钟填在“每日打卡”。</t>
        </is>
      </c>
    </row>
    <row r="8" ht="64" customHeight="1">
      <c r="A8" s="4" t="inlineStr">
        <is>
          <t>单词节奏</t>
        </is>
      </c>
      <c r="B8" s="4" t="inlineStr">
        <is>
          <t>周一至周六每天新学15个，共每周90个；星期日不加新词。新词统一从一份词表/软件按顺序学，滚动复习到期旧词；遇到难记的搭配放入错词本。四周最多新增约360个。</t>
        </is>
      </c>
      <c r="C8" s="4" t="inlineStr">
        <is>
          <t>新词按英语→中文回忆；周日从本周词里抽20个，记录正确数/20。</t>
        </is>
      </c>
    </row>
    <row r="9" ht="78" customHeight="1">
      <c r="A9" s="4" t="inlineStr">
        <is>
          <t>六级资料</t>
        </is>
      </c>
      <c r="B9" s="4" t="inlineStr">
        <is>
          <t>固定使用同一套近年真题或同一资料系列。首做不看原文/答案，按任务计时；订正必须标原文证据或音频时间点。练习题套和具体真题年份可自行填入计划备注。</t>
        </is>
      </c>
      <c r="C9" s="4" t="inlineStr">
        <is>
          <t>正确率、用时和错误类型一起记录，不能只记对错。</t>
        </is>
      </c>
    </row>
    <row r="10" ht="78" customHeight="1">
      <c r="A10" s="4" t="inlineStr">
        <is>
          <t>考研英语衔接</t>
        </is>
      </c>
      <c r="B10" s="4" t="inlineStr">
        <is>
          <t>考研在2028年12月，四周阶段把六级训练转化为词汇、长句、主旨和逻辑能力；每天15分钟轻量句法/学术表达练习。不用当前无定论的院校名猜题或过早做考研全套模拟。</t>
        </is>
      </c>
      <c r="C10" s="4" t="inlineStr">
        <is>
          <t>以后拿到正式考纲和目标院校后再加考研专项与专业阅读。</t>
        </is>
      </c>
    </row>
    <row r="11" ht="64" customHeight="1">
      <c r="A11" s="4" t="inlineStr">
        <is>
          <t>订正办法</t>
        </is>
      </c>
      <c r="B11" s="4" t="inlineStr">
        <is>
          <t>每道错题只归一个主要原因：词汇、句子结构、听辨、定位/同义替换、推断、语法表达、时间分配、注意力。正确答案需用证据解释；“蒙对”仍列入复习。</t>
        </is>
      </c>
      <c r="C11" s="4" t="inlineStr">
        <is>
          <t>把错题填入“错题复习表”，D+1、D+3、D+7复做。</t>
        </is>
      </c>
    </row>
    <row r="12" ht="78" customHeight="1">
      <c r="A12" s="4" t="inlineStr">
        <is>
          <t>繁忙日缩短版</t>
        </is>
      </c>
      <c r="B12" s="4" t="inlineStr">
        <is>
          <t>如果当天课程或身体状态影响计划，保留20分钟：复习到期单词10分钟＋做一道/听一段英语5分钟＋记录明天的恢复动作5分钟；不要把漏掉的任务全部挤到第二天。</t>
        </is>
      </c>
      <c r="C12" s="4" t="inlineStr">
        <is>
          <t>打卡状态选“缩短版”，实际时间照实写；休息日无须补课。</t>
        </is>
      </c>
    </row>
    <row r="13" ht="78" customHeight="1">
      <c r="A13" s="4" t="inlineStr">
        <is>
          <t>四周复盘</t>
        </is>
      </c>
      <c r="B13" s="4" t="inlineStr">
        <is>
          <t>周一至周六的工作表提供详细分时任务和交付物；每周末记当周证据。第4周以全新但相当难度的材料与第1周基线比较。</t>
        </is>
      </c>
      <c r="C13" s="4" t="inlineStr">
        <is>
          <t>第28天决定下阶段只优先解决的一个问题。</t>
        </is>
      </c>
    </row>
  </sheetData>
  <mergeCells count="2">
    <mergeCell ref="A1:C1"/>
    <mergeCell ref="A2:C2"/>
  </mergeCells>
  <pageMargins left="0.25" right="0.25" top="0.45" bottom="0.45" header="0.5" footer="0.5"/>
  <pageSetup orientation="portrait" paperSize="9" fitToHeight="0" fitToWidth="1"/>
  <headerFooter>
    <oddHeader/>
    <oddFooter>&amp;C&amp;8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E7180"/>
    <outlinePr summaryBelow="1" summaryRight="1"/>
    <pageSetUpPr fitToPage="1"/>
  </sheetPr>
  <dimension ref="A1:K31"/>
  <sheetViews>
    <sheetView showGridLines="0" zoomScale="80" workbookViewId="0">
      <pane xSplit="4" ySplit="3" topLeftCell="E4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7" customWidth="1" min="4" max="4"/>
    <col width="68" customWidth="1" min="5" max="5"/>
    <col width="38" customWidth="1" min="6" max="6"/>
    <col width="33" customWidth="1" min="7" max="7"/>
    <col width="15" customWidth="1" min="8" max="8"/>
    <col width="13" customWidth="1" min="9" max="9"/>
    <col width="25" customWidth="1" min="10" max="10"/>
    <col width="34" customWidth="1" min="11" max="11"/>
  </cols>
  <sheetData>
    <row r="1" ht="38" customHeight="1">
      <c r="A1" s="1" t="inlineStr">
        <is>
          <t>28天细化计划</t>
        </is>
      </c>
    </row>
    <row r="2" ht="32" customHeight="1">
      <c r="A2" s="2" t="inlineStr">
        <is>
          <t>按周递进：摸底 → 方法训练 → 限时输出 → 等难度复测。完整做题后再看答案；表格中的时间为建议值。</t>
        </is>
      </c>
    </row>
    <row r="3" ht="32" customHeight="1">
      <c r="A3" s="3" t="inlineStr">
        <is>
          <t>日期</t>
        </is>
      </c>
      <c r="B3" s="3" t="inlineStr">
        <is>
          <t>星期</t>
        </is>
      </c>
      <c r="C3" s="3" t="inlineStr">
        <is>
          <t>周次</t>
        </is>
      </c>
      <c r="D3" s="3" t="inlineStr">
        <is>
          <t>当天主题</t>
        </is>
      </c>
      <c r="E3" s="3" t="inlineStr">
        <is>
          <t>分时任务（按顺序执行）</t>
        </is>
      </c>
      <c r="F3" s="3" t="inlineStr">
        <is>
          <t>完成标准 / 当天交付物</t>
        </is>
      </c>
      <c r="G3" s="3" t="inlineStr">
        <is>
          <t>材料建议（固定后不频繁换）</t>
        </is>
      </c>
      <c r="H3" s="3" t="inlineStr">
        <is>
          <t>完成状态</t>
        </is>
      </c>
      <c r="I3" s="3" t="inlineStr">
        <is>
          <t>实际分钟</t>
        </is>
      </c>
      <c r="J3" s="3" t="inlineStr">
        <is>
          <t>正确率 / 测量值</t>
        </is>
      </c>
      <c r="K3" s="3" t="inlineStr">
        <is>
          <t>错题原因 / 明日动作</t>
        </is>
      </c>
    </row>
    <row r="4" ht="138" customHeight="1">
      <c r="A4" s="5" t="n">
        <v>46314</v>
      </c>
      <c r="B4" s="6" t="inlineStr">
        <is>
          <t>周一</t>
        </is>
      </c>
      <c r="C4" s="6" t="inlineStr">
        <is>
          <t>第1周</t>
        </is>
      </c>
      <c r="D4" s="7" t="inlineStr">
        <is>
          <t>听力摸底</t>
        </is>
      </c>
      <c r="E4" s="7" t="inlineStr">
        <is>
          <t>【词汇 15分钟】15分钟｜复习昨天及到期旧词；学习15个新词。每词做一次英→中回忆，难词加一个搭配或短句。
【六级专项 35分钟】选一套近年六级真题的短对话/讲座片段（约20–25分钟），首次完整听完再答题，不暂停、不看原文。随后回放错题段，记下答案依据和首错位置。
【考研基础 15分钟】从当天错题原文选1个长句：划主谓、圈连接词，再用中文说明句子主干。
【记录 10分钟】10分钟｜闭卷回忆今天错题的正确依据；按原因归类，填错题复习表，并写明明天可做的一步。</t>
        </is>
      </c>
      <c r="F4" s="7" t="inlineStr">
        <is>
          <t>保存本次听力正确率、题型、耗时；每道错题标注“词汇/连读弱读/没抓住转折/走神”之一。
总计约75分钟。</t>
        </is>
      </c>
      <c r="G4" s="7" t="inlineStr">
        <is>
          <t>词汇用固定书/软件；六级用未做过的历年真题；长难句从当天文章或音频选取。</t>
        </is>
      </c>
      <c r="H4" s="6" t="inlineStr">
        <is>
          <t>未开始</t>
        </is>
      </c>
      <c r="I4" s="7" t="inlineStr"/>
      <c r="J4" s="7" t="inlineStr"/>
      <c r="K4" s="7" t="inlineStr"/>
    </row>
    <row r="5" ht="138" customHeight="1">
      <c r="A5" s="5" t="n">
        <v>46315</v>
      </c>
      <c r="B5" s="6" t="inlineStr">
        <is>
          <t>周二</t>
        </is>
      </c>
      <c r="C5" s="6" t="inlineStr">
        <is>
          <t>第1周</t>
        </is>
      </c>
      <c r="D5" s="7" t="inlineStr">
        <is>
          <t>阅读摸底</t>
        </is>
      </c>
      <c r="E5" s="7" t="inlineStr">
        <is>
          <t>【词汇 15分钟】15分钟｜复习昨天及到期旧词；学习15个新词。每词做一次英→中回忆，难词加一个搭配或短句。
【六级专项 40分钟】限时读1篇六级仔细阅读（约15分钟）；每题先独立作答，答后用荧光笔在原文标出证据句。剩余时间逐题统计是否看错范围、误解同义替换或猜题。
【考研基础 15分钟】挑1句含从句或非谓语的原文，断句后写出自然中文译文；标明谓语动词。
【记录 10分钟】10分钟｜闭卷回忆今天错题的正确依据；按原因归类，填错题复习表，并写明明天可做的一步。</t>
        </is>
      </c>
      <c r="F5" s="7" t="inlineStr">
        <is>
          <t>记录正确率和用时；每题有一条原文证据，错题写明“我选项与原文差在哪”。
总计约80分钟。</t>
        </is>
      </c>
      <c r="G5" s="7" t="inlineStr">
        <is>
          <t>词汇用固定书/软件；六级用未做过的历年真题；长难句从当天文章或音频选取。</t>
        </is>
      </c>
      <c r="H5" s="6" t="inlineStr">
        <is>
          <t>未开始</t>
        </is>
      </c>
      <c r="I5" s="7" t="inlineStr"/>
      <c r="J5" s="7" t="inlineStr"/>
      <c r="K5" s="7" t="inlineStr"/>
    </row>
    <row r="6" ht="138" customHeight="1">
      <c r="A6" s="5" t="n">
        <v>46316</v>
      </c>
      <c r="B6" s="6" t="inlineStr">
        <is>
          <t>周三</t>
        </is>
      </c>
      <c r="C6" s="6" t="inlineStr">
        <is>
          <t>第1周</t>
        </is>
      </c>
      <c r="D6" s="7" t="inlineStr">
        <is>
          <t>听力精听</t>
        </is>
      </c>
      <c r="E6" s="7" t="inlineStr">
        <is>
          <t>【词汇 15分钟】15分钟｜复习昨天及到期旧词；学习15个新词。每词做一次英→中回忆，难词加一个搭配或短句。
【六级专项 35分钟】做1组六级听力题。订正后选30–45秒错题音频：先盲听记关键词，再看文本标出弱读、连读及没认出的词，最后跟读3遍。
【考研基础 15分钟】把音频中1个长句抄下来，标句子重音和转折词；不用追求逐词翻译。
【记录 10分钟】10分钟｜闭卷回忆今天错题的正确依据；按原因归类，填错题复习表，并写明明天可做的一步。</t>
        </is>
      </c>
      <c r="F6" s="7" t="inlineStr">
        <is>
          <t>记下3处“第一次没听出来”的短语并归因；跟读录音或复述关键词一次。
总计约75分钟。</t>
        </is>
      </c>
      <c r="G6" s="7" t="inlineStr">
        <is>
          <t>词汇用固定书/软件；六级用未做过的历年真题；长难句从当天文章或音频选取。</t>
        </is>
      </c>
      <c r="H6" s="6" t="inlineStr">
        <is>
          <t>未开始</t>
        </is>
      </c>
      <c r="I6" s="7" t="inlineStr"/>
      <c r="J6" s="7" t="inlineStr"/>
      <c r="K6" s="7" t="inlineStr"/>
    </row>
    <row r="7" ht="138" customHeight="1">
      <c r="A7" s="5" t="n">
        <v>46317</v>
      </c>
      <c r="B7" s="6" t="inlineStr">
        <is>
          <t>周四</t>
        </is>
      </c>
      <c r="C7" s="6" t="inlineStr">
        <is>
          <t>第1周</t>
        </is>
      </c>
      <c r="D7" s="7" t="inlineStr">
        <is>
          <t>阅读＋翻译基线</t>
        </is>
      </c>
      <c r="E7" s="7" t="inlineStr">
        <is>
          <t>【词汇 15分钟】15分钟｜复习昨天及到期旧词；学习15个新词。每词做一次英→中回忆，难词加一个搭配或短句。
【六级专项 40分钟】练1组长篇匹配或仔细阅读，选择后者作为基线题型也可；记录每题定位段落。随后将80–100字中文短段译成英文，限定约12分钟，再用答案核对名词、时态和逻辑连接。
【考研基础 15分钟】整理段落中的2个动词搭配，写“词义＋搭配＋自己的例句”，不只抄中文释义。
【记录 10分钟】10分钟｜闭卷回忆今天错题的正确依据；按原因归类，填错题复习表，并写明明天可做的一步。</t>
        </is>
      </c>
      <c r="F7" s="7" t="inlineStr">
        <is>
          <t>保存一份未修改初稿和订正稿；挑出最影响理解的3处翻译问题。
总计约80分钟。</t>
        </is>
      </c>
      <c r="G7" s="7" t="inlineStr">
        <is>
          <t>词汇用固定书/软件；六级用未做过的历年真题；长难句从当天文章或音频选取。</t>
        </is>
      </c>
      <c r="H7" s="6" t="inlineStr">
        <is>
          <t>未开始</t>
        </is>
      </c>
      <c r="I7" s="7" t="inlineStr"/>
      <c r="J7" s="7" t="inlineStr"/>
      <c r="K7" s="7" t="inlineStr"/>
    </row>
    <row r="8" ht="138" customHeight="1">
      <c r="A8" s="5" t="n">
        <v>46318</v>
      </c>
      <c r="B8" s="6" t="inlineStr">
        <is>
          <t>周五</t>
        </is>
      </c>
      <c r="C8" s="6" t="inlineStr">
        <is>
          <t>第1周</t>
        </is>
      </c>
      <c r="D8" s="7" t="inlineStr">
        <is>
          <t>写作基线</t>
        </is>
      </c>
      <c r="E8" s="7" t="inlineStr">
        <is>
          <t>【词汇 15分钟】15分钟｜复习昨天及到期旧词；学习15个新词。每词做一次英→中回忆，难词加一个搭配或短句。
【六级专项 35分钟】选一个常见校园、科技或社会话题；5分钟列“观点—理由—例子”，18分钟写80–120词英文段落，12分钟检查主谓一致、时态、冠词、拼写和句子是否完整。
【考研基础 15分钟】从作文里选2个表达，改写成更正式但自己确实会用的说法。
【记录 10分钟】10分钟｜闭卷回忆今天错题的正确依据；按原因归类，填错题复习表，并写明明天可做的一步。</t>
        </is>
      </c>
      <c r="F8" s="7" t="inlineStr">
        <is>
          <t>保存未经批改的初稿；圈出至少3个自己不确定的表达并改正。
总计约75分钟。</t>
        </is>
      </c>
      <c r="G8" s="7" t="inlineStr">
        <is>
          <t>词汇用固定书/软件；六级用未做过的历年真题；长难句从当天文章或音频选取。</t>
        </is>
      </c>
      <c r="H8" s="6" t="inlineStr">
        <is>
          <t>未开始</t>
        </is>
      </c>
      <c r="I8" s="7" t="inlineStr"/>
      <c r="J8" s="7" t="inlineStr"/>
      <c r="K8" s="7" t="inlineStr"/>
    </row>
    <row r="9" ht="138" customHeight="1">
      <c r="A9" s="5" t="n">
        <v>46319</v>
      </c>
      <c r="B9" s="6" t="inlineStr">
        <is>
          <t>周六</t>
        </is>
      </c>
      <c r="C9" s="6" t="inlineStr">
        <is>
          <t>第1周</t>
        </is>
      </c>
      <c r="D9" s="7" t="inlineStr">
        <is>
          <t>听读限时基线</t>
        </is>
      </c>
      <c r="E9" s="7" t="inlineStr">
        <is>
          <t>【词汇 15分钟】15分钟｜复习昨天及到期旧词；学习15个新词。每词做一次英→中回忆，难词加一个搭配或短句。
【六级专项 50分钟】用六级新题完成一段听力（约25分钟）和1篇阅读（约15分钟）；剩余10分钟记录每部分正确率、时间分配和中途是否回看文本。
【考研基础 15分钟】找一篇自己能读懂七成左右的短文，标出1个长句的主谓和逻辑关系。
【记录 10分钟】10分钟｜闭卷回忆今天错题的正确依据；按原因归类，填错题复习表，并写明明天可做的一步。</t>
        </is>
      </c>
      <c r="F9" s="7" t="inlineStr">
        <is>
          <t>填好听力、阅读两项基线；每项选1道错题，写出证据或原文依据。
总计约90分钟。</t>
        </is>
      </c>
      <c r="G9" s="7" t="inlineStr">
        <is>
          <t>词汇用固定书/软件；六级用未做过的历年真题；长难句从当天文章或音频选取。</t>
        </is>
      </c>
      <c r="H9" s="6" t="inlineStr">
        <is>
          <t>未开始</t>
        </is>
      </c>
      <c r="I9" s="7" t="inlineStr"/>
      <c r="J9" s="7" t="inlineStr"/>
      <c r="K9" s="7" t="inlineStr"/>
    </row>
    <row r="10" ht="112" customHeight="1">
      <c r="A10" s="5" t="n">
        <v>46320</v>
      </c>
      <c r="B10" s="6" t="inlineStr">
        <is>
          <t>周日</t>
        </is>
      </c>
      <c r="C10" s="6" t="inlineStr">
        <is>
          <t>第1周</t>
        </is>
      </c>
      <c r="D10" s="7" t="inlineStr">
        <is>
          <t>周复盘＋轻测</t>
        </is>
      </c>
      <c r="E10" s="7" t="inlineStr">
        <is>
          <t>【词汇抽测 15分钟】15分钟｜不学新词；从本周词汇随机抽测20个，只看英文说中文，记录正确数/20，并把不会的词标记为到期复习。
【本周错题 20分钟】不新增词汇。重做5道错题（至少2道听力、2道阅读）；先遮住答案，做完能说出原文/音频证据。余下时间确认下周目标。
【周复盘 10分钟】10分钟｜填写周复盘表：挑1个长句口头拆主干，写下下周唯一改进目标。其余时间休息，不补新课。</t>
        </is>
      </c>
      <c r="F10" s="7" t="inlineStr">
        <is>
          <t>算出抽查正确率；选下周一个优先改进点；其余时间休息。
总计约45分钟。</t>
        </is>
      </c>
      <c r="G10" s="7" t="inlineStr">
        <is>
          <t>词汇用固定书/软件；六级用未做过的历年真题；长难句从当天文章或音频选取。</t>
        </is>
      </c>
      <c r="H10" s="6" t="inlineStr">
        <is>
          <t>未开始</t>
        </is>
      </c>
      <c r="I10" s="7" t="inlineStr"/>
      <c r="J10" s="7" t="inlineStr"/>
      <c r="K10" s="7" t="inlineStr"/>
    </row>
    <row r="11" ht="138" customHeight="1">
      <c r="A11" s="8" t="n">
        <v>46321</v>
      </c>
      <c r="B11" s="9" t="inlineStr">
        <is>
          <t>周一</t>
        </is>
      </c>
      <c r="C11" s="9" t="inlineStr">
        <is>
          <t>第2周</t>
        </is>
      </c>
      <c r="D11" s="10" t="inlineStr">
        <is>
          <t>听力关键词</t>
        </is>
      </c>
      <c r="E11" s="10" t="inlineStr">
        <is>
          <t>【词汇 15分钟】15分钟｜复习昨天及到期旧词；学习15个新词。每词做一次英→中回忆，难词加一个搭配或短句。
【六级专项 35分钟】练一段讲座或较长对话。听前浏览选项并预测主题词；首遍只做题，第二遍对错题只听前后句，画出转折、因果、数字和态度词。
【考研基础 15分钟】挑1句含因果或让步关系的句子，画出 although/because/however 等连接关系。
【记录 10分钟】10分钟｜闭卷回忆今天错题的正确依据；按原因归类，填错题复习表，并写明明天可做的一步。</t>
        </is>
      </c>
      <c r="F11" s="10" t="inlineStr">
        <is>
          <t>整理5个“信号词—它提示的关系”例子；只重听错题片段，不整篇反复磨。
总计约75分钟。</t>
        </is>
      </c>
      <c r="G11" s="10" t="inlineStr">
        <is>
          <t>词汇用固定书/软件；六级用未做过的历年真题；长难句从当天文章或音频选取。</t>
        </is>
      </c>
      <c r="H11" s="9" t="inlineStr">
        <is>
          <t>未开始</t>
        </is>
      </c>
      <c r="I11" s="10" t="inlineStr"/>
      <c r="J11" s="10" t="inlineStr"/>
      <c r="K11" s="10" t="inlineStr"/>
    </row>
    <row r="12" ht="138" customHeight="1">
      <c r="A12" s="8" t="n">
        <v>46322</v>
      </c>
      <c r="B12" s="9" t="inlineStr">
        <is>
          <t>周二</t>
        </is>
      </c>
      <c r="C12" s="9" t="inlineStr">
        <is>
          <t>第2周</t>
        </is>
      </c>
      <c r="D12" s="10" t="inlineStr">
        <is>
          <t>阅读证据定位</t>
        </is>
      </c>
      <c r="E12" s="10" t="inlineStr">
        <is>
          <t>【词汇 15分钟】15分钟｜复习昨天及到期旧词；学习15个新词。每词做一次英→中回忆，难词加一个搭配或短句。
【六级专项 40分钟】做1篇仔细阅读；每题在选项旁写定位段号和证据关键词。订正时将正确选项与原文改写逐词对照，特别标注范围词、否定和比较。
【考研基础 15分钟】选择文章中1个含插入语或定语从句的句子，括出修饰部分，再译主干。
【记录 10分钟】10分钟｜闭卷回忆今天错题的正确依据；按原因归类，填错题复习表，并写明明天可做的一步。</t>
        </is>
      </c>
      <c r="F12" s="10" t="inlineStr">
        <is>
          <t>至少为4道题写出“题干词→原文同义表达”；错题不只记录选项字母。
总计约80分钟。</t>
        </is>
      </c>
      <c r="G12" s="10" t="inlineStr">
        <is>
          <t>词汇用固定书/软件；六级用未做过的历年真题；长难句从当天文章或音频选取。</t>
        </is>
      </c>
      <c r="H12" s="9" t="inlineStr">
        <is>
          <t>未开始</t>
        </is>
      </c>
      <c r="I12" s="10" t="inlineStr"/>
      <c r="J12" s="10" t="inlineStr"/>
      <c r="K12" s="10" t="inlineStr"/>
    </row>
    <row r="13" ht="138" customHeight="1">
      <c r="A13" s="8" t="n">
        <v>46323</v>
      </c>
      <c r="B13" s="9" t="inlineStr">
        <is>
          <t>周三</t>
        </is>
      </c>
      <c r="C13" s="9" t="inlineStr">
        <is>
          <t>第2周</t>
        </is>
      </c>
      <c r="D13" s="10" t="inlineStr">
        <is>
          <t>长句拆解</t>
        </is>
      </c>
      <c r="E13" s="10" t="inlineStr">
        <is>
          <t>【词汇 15分钟】15分钟｜复习昨天及到期旧词；学习15个新词。每词做一次英→中回忆，难词加一个搭配或短句。
【六级专项 35分钟】从真题阅读找3个长句，依次找限定动词、主语、连接词，再分清主句和从句。用剩余时间带着拆句结果重读原文对应段。
【考研基础 15分钟】从3句中选1句做英译汉，保留逻辑关系，不逐词硬译。
【记录 10分钟】10分钟｜闭卷回忆今天错题的正确依据；按原因归类，填错题复习表，并写明明天可做的一步。</t>
        </is>
      </c>
      <c r="F13" s="10" t="inlineStr">
        <is>
          <t>完成3份句子骨架，每句写1句中文大意；检查是否漏掉否定或转折。
总计约75分钟。</t>
        </is>
      </c>
      <c r="G13" s="10" t="inlineStr">
        <is>
          <t>词汇用固定书/软件；六级用未做过的历年真题；长难句从当天文章或音频选取。</t>
        </is>
      </c>
      <c r="H13" s="9" t="inlineStr">
        <is>
          <t>未开始</t>
        </is>
      </c>
      <c r="I13" s="10" t="inlineStr"/>
      <c r="J13" s="10" t="inlineStr"/>
      <c r="K13" s="10" t="inlineStr"/>
    </row>
    <row r="14" ht="138" customHeight="1">
      <c r="A14" s="8" t="n">
        <v>46324</v>
      </c>
      <c r="B14" s="9" t="inlineStr">
        <is>
          <t>周四</t>
        </is>
      </c>
      <c r="C14" s="9" t="inlineStr">
        <is>
          <t>第2周</t>
        </is>
      </c>
      <c r="D14" s="10" t="inlineStr">
        <is>
          <t>翻译拆句</t>
        </is>
      </c>
      <c r="E14" s="10" t="inlineStr">
        <is>
          <t>【词汇 15分钟】15分钟｜复习昨天及到期旧词；学习15个新词。每词做一次英→中回忆，难词加一个搭配或短句。
【六级专项 40分钟】练一段六级汉译英，约80–100字，先圈主句谓语再处理时间、原因、让步等关系；用约15分钟完成，随后对照参考译文订正。
【考研基础 15分钟】从译文中提取2个学术或正式搭配；确认用法后各写1个自己的例句。
【记录 10分钟】10分钟｜闭卷回忆今天错题的正确依据；按原因归类，填错题复习表，并写明明天可做的一步。</t>
        </is>
      </c>
      <c r="F14" s="10" t="inlineStr">
        <is>
          <t>建一个“中文直译→自然英文”对照表，记录3个错误及改法。
总计约80分钟。</t>
        </is>
      </c>
      <c r="G14" s="10" t="inlineStr">
        <is>
          <t>词汇用固定书/软件；六级用未做过的历年真题；长难句从当天文章或音频选取。</t>
        </is>
      </c>
      <c r="H14" s="9" t="inlineStr">
        <is>
          <t>未开始</t>
        </is>
      </c>
      <c r="I14" s="10" t="inlineStr"/>
      <c r="J14" s="10" t="inlineStr"/>
      <c r="K14" s="10" t="inlineStr"/>
    </row>
    <row r="15" ht="138" customHeight="1">
      <c r="A15" s="8" t="n">
        <v>46325</v>
      </c>
      <c r="B15" s="9" t="inlineStr">
        <is>
          <t>周五</t>
        </is>
      </c>
      <c r="C15" s="9" t="inlineStr">
        <is>
          <t>第2周</t>
        </is>
      </c>
      <c r="D15" s="10" t="inlineStr">
        <is>
          <t>写作结构</t>
        </is>
      </c>
      <c r="E15" s="10" t="inlineStr">
        <is>
          <t>【词汇 15分钟】15分钟｜复习昨天及到期旧词；学习15个新词。每词做一次英→中回忆，难词加一个搭配或短句。
【六级专项 35分钟】选1个新话题，3分钟列中心句、两个支持点；20分钟写100–130词段落；12分钟只检查论点是否明确、段间逻辑词、主谓一致和拼写。
【考研基础 15分钟】将主题句改写成“主张＋范围”清楚的表达，不背整段模板。
【记录 10分钟】10分钟｜闭卷回忆今天错题的正确依据；按原因归类，填错题复习表，并写明明天可做的一步。</t>
        </is>
      </c>
      <c r="F15" s="10" t="inlineStr">
        <is>
          <t>给每段写一个中文功能标签；用另一种表达改写主题句1次。
总计约75分钟。</t>
        </is>
      </c>
      <c r="G15" s="10" t="inlineStr">
        <is>
          <t>词汇用固定书/软件；六级用未做过的历年真题；长难句从当天文章或音频选取。</t>
        </is>
      </c>
      <c r="H15" s="9" t="inlineStr">
        <is>
          <t>未开始</t>
        </is>
      </c>
      <c r="I15" s="10" t="inlineStr"/>
      <c r="J15" s="10" t="inlineStr"/>
      <c r="K15" s="10" t="inlineStr"/>
    </row>
    <row r="16" ht="138" customHeight="1">
      <c r="A16" s="8" t="n">
        <v>46326</v>
      </c>
      <c r="B16" s="9" t="inlineStr">
        <is>
          <t>周六</t>
        </is>
      </c>
      <c r="C16" s="9" t="inlineStr">
        <is>
          <t>第2周</t>
        </is>
      </c>
      <c r="D16" s="10" t="inlineStr">
        <is>
          <t>限时听读组合</t>
        </is>
      </c>
      <c r="E16" s="10" t="inlineStr">
        <is>
          <t>【词汇 15分钟】15分钟｜复习昨天及到期旧词；学习15个新词。每词做一次英→中回忆，难词加一个搭配或短句。
【六级专项 50分钟】用全新的六级材料：听力约25分钟，阅读匹配或仔细阅读约18分钟；余下7分钟快速订正并标注错误类别。全程按时结束，不因一道题拖延。
【考研基础 15分钟】从错题里挑1句，归纳识别主句谓语的顺序。
【记录 10分钟】10分钟｜闭卷回忆今天错题的正确依据；按原因归类，填错题复习表，并写明明天可做的一步。</t>
        </is>
      </c>
      <c r="F16" s="10" t="inlineStr">
        <is>
          <t>比对第一周同类训练用时；记录是否出现“前面耗时过多、后面乱猜”。
总计约90分钟。</t>
        </is>
      </c>
      <c r="G16" s="10" t="inlineStr">
        <is>
          <t>词汇用固定书/软件；六级用未做过的历年真题；长难句从当天文章或音频选取。</t>
        </is>
      </c>
      <c r="H16" s="9" t="inlineStr">
        <is>
          <t>未开始</t>
        </is>
      </c>
      <c r="I16" s="10" t="inlineStr"/>
      <c r="J16" s="10" t="inlineStr"/>
      <c r="K16" s="10" t="inlineStr"/>
    </row>
    <row r="17" ht="112" customHeight="1">
      <c r="A17" s="8" t="n">
        <v>46327</v>
      </c>
      <c r="B17" s="9" t="inlineStr">
        <is>
          <t>周日</t>
        </is>
      </c>
      <c r="C17" s="9" t="inlineStr">
        <is>
          <t>第2周</t>
        </is>
      </c>
      <c r="D17" s="10" t="inlineStr">
        <is>
          <t>周复盘＋错题复做</t>
        </is>
      </c>
      <c r="E17" s="10" t="inlineStr">
        <is>
          <t>【词汇抽测 15分钟】15分钟｜不学新词；从本周词汇随机抽测20个，只看英文说中文，记录正确数/20，并把不会的词标记为到期复习。
【本周错题 20分钟】不加新词。重做6道错题；回听一处转折或数字信息错题，统计最常见错误类型。
【周复盘 10分钟】10分钟｜填写周复盘表：挑1个长句口头拆主干，写下下周唯一改进目标。其余时间休息，不补新课。</t>
        </is>
      </c>
      <c r="F17" s="10" t="inlineStr">
        <is>
          <t>写下下周只优先改的一类错误；休息日其余时间不补作业。
总计约45分钟。</t>
        </is>
      </c>
      <c r="G17" s="10" t="inlineStr">
        <is>
          <t>词汇用固定书/软件；六级用未做过的历年真题；长难句从当天文章或音频选取。</t>
        </is>
      </c>
      <c r="H17" s="9" t="inlineStr">
        <is>
          <t>未开始</t>
        </is>
      </c>
      <c r="I17" s="10" t="inlineStr"/>
      <c r="J17" s="10" t="inlineStr"/>
      <c r="K17" s="10" t="inlineStr"/>
    </row>
    <row r="18" ht="138" customHeight="1">
      <c r="A18" s="5" t="n">
        <v>46328</v>
      </c>
      <c r="B18" s="6" t="inlineStr">
        <is>
          <t>周一</t>
        </is>
      </c>
      <c r="C18" s="6" t="inlineStr">
        <is>
          <t>第3周</t>
        </is>
      </c>
      <c r="D18" s="7" t="inlineStr">
        <is>
          <t>连续听力训练</t>
        </is>
      </c>
      <c r="E18" s="7" t="inlineStr">
        <is>
          <t>【词汇 15分钟】15分钟｜复习昨天及到期旧词；学习15个新词。每词做一次英→中回忆，难词加一个搭配或短句。
【六级专项 35分钟】完成一段连续的六级讲座/对话训练，计时不暂停；错后按“预读—首遍—定位—复听”四步订正。跟读30秒音频，注意句群而非追求口音。
【考研基础 15分钟】复述一条听力长句的主干，再指出一个修饰成分的位置。
【记录 10分钟】10分钟｜闭卷回忆今天错题的正确依据；按原因归类，填错题复习表，并写明明天可做的一步。</t>
        </is>
      </c>
      <c r="F18" s="7" t="inlineStr">
        <is>
          <t>统计正确率；记录最先丢失信息的时间点及原因。
总计约75分钟。</t>
        </is>
      </c>
      <c r="G18" s="7" t="inlineStr">
        <is>
          <t>词汇用固定书/软件；六级用未做过的历年真题；长难句从当天文章或音频选取。</t>
        </is>
      </c>
      <c r="H18" s="6" t="inlineStr">
        <is>
          <t>未开始</t>
        </is>
      </c>
      <c r="I18" s="7" t="inlineStr"/>
      <c r="J18" s="7" t="inlineStr"/>
      <c r="K18" s="7" t="inlineStr"/>
    </row>
    <row r="19" ht="138" customHeight="1">
      <c r="A19" s="5" t="n">
        <v>46329</v>
      </c>
      <c r="B19" s="6" t="inlineStr">
        <is>
          <t>周二</t>
        </is>
      </c>
      <c r="C19" s="6" t="inlineStr">
        <is>
          <t>第3周</t>
        </is>
      </c>
      <c r="D19" s="7" t="inlineStr">
        <is>
          <t>阅读计时</t>
        </is>
      </c>
      <c r="E19" s="7" t="inlineStr">
        <is>
          <t>【词汇 15分钟】15分钟｜复习昨天及到期旧词；学习15个新词。每词做一次英→中回忆，难词加一个搭配或短句。
【六级专项 40分钟】新做1篇仔细阅读并计时。答题前先标题干关键词，完成后回原文找同义替换；最后用5分钟复盘每题耗时和是否被相似词误导。
【考研基础 15分钟】挑1个推断题，写清推断所依据的原文事实，避免引入常识。
【记录 10分钟】10分钟｜闭卷回忆今天错题的正确依据；按原因归类，填错题复习表，并写明明天可做的一步。</t>
        </is>
      </c>
      <c r="F19" s="7" t="inlineStr">
        <is>
          <t>每题写“题干关键词＋证据句”；与第1周同题型的时间和正确率作比较。
总计约80分钟。</t>
        </is>
      </c>
      <c r="G19" s="7" t="inlineStr">
        <is>
          <t>词汇用固定书/软件；六级用未做过的历年真题；长难句从当天文章或音频选取。</t>
        </is>
      </c>
      <c r="H19" s="6" t="inlineStr">
        <is>
          <t>未开始</t>
        </is>
      </c>
      <c r="I19" s="7" t="inlineStr"/>
      <c r="J19" s="7" t="inlineStr"/>
      <c r="K19" s="7" t="inlineStr"/>
    </row>
    <row r="20" ht="138" customHeight="1">
      <c r="A20" s="5" t="n">
        <v>46330</v>
      </c>
      <c r="B20" s="6" t="inlineStr">
        <is>
          <t>周三</t>
        </is>
      </c>
      <c r="C20" s="6" t="inlineStr">
        <is>
          <t>第3周</t>
        </is>
      </c>
      <c r="D20" s="7" t="inlineStr">
        <is>
          <t>听写与跟读</t>
        </is>
      </c>
      <c r="E20" s="7" t="inlineStr">
        <is>
          <t>【词汇 15分钟】15分钟｜复习昨天及到期旧词；学习15个新词。每词做一次英→中回忆，难词加一个搭配或短句。
【六级专项 35分钟】选真题30–60秒音频，第一遍听大意，第二遍按意群记关键词，第三遍看原文补漏；遮住原文再跟读2–3遍。
【考研基础 15分钟】查看短句里的代词指代或从句关系，写出一句简洁解释。
【记录 10分钟】10分钟｜闭卷回忆今天错题的正确依据；按原因归类，填错题复习表，并写明明天可做的一步。</t>
        </is>
      </c>
      <c r="F20" s="7" t="inlineStr">
        <is>
          <t>把漏听处分成“词不熟/弱读连读/反应慢”三类；记5个真实漏听短语。
总计约75分钟。</t>
        </is>
      </c>
      <c r="G20" s="7" t="inlineStr">
        <is>
          <t>词汇用固定书/软件；六级用未做过的历年真题；长难句从当天文章或音频选取。</t>
        </is>
      </c>
      <c r="H20" s="6" t="inlineStr">
        <is>
          <t>未开始</t>
        </is>
      </c>
      <c r="I20" s="7" t="inlineStr"/>
      <c r="J20" s="7" t="inlineStr"/>
      <c r="K20" s="7" t="inlineStr"/>
    </row>
    <row r="21" ht="138" customHeight="1">
      <c r="A21" s="5" t="n">
        <v>46331</v>
      </c>
      <c r="B21" s="6" t="inlineStr">
        <is>
          <t>周四</t>
        </is>
      </c>
      <c r="C21" s="6" t="inlineStr">
        <is>
          <t>第3周</t>
        </is>
      </c>
      <c r="D21" s="7" t="inlineStr">
        <is>
          <t>长篇匹配＋翻译</t>
        </is>
      </c>
      <c r="E21" s="7" t="inlineStr">
        <is>
          <t>【词汇 15分钟】15分钟｜复习昨天及到期旧词；学习15个新词。每词做一次英→中回忆，难词加一个搭配或短句。
【六级专项 40分钟】练一组长篇匹配：先读题目关键词，再给段落写5–8字摘要；匹配后检查证据。剩余15分钟将一段约60–80字中文译成英文。
【考研基础 15分钟】把一段英文阅读压缩成一条英文主旨句，最多25词。
【记录 10分钟】10分钟｜闭卷回忆今天错题的正确依据；按原因归类，填错题复习表，并写明明天可做的一步。</t>
        </is>
      </c>
      <c r="F21" s="7" t="inlineStr">
        <is>
          <t>记录匹配题错误原因；在译文中圈出一个主谓错误并订正。
总计约80分钟。</t>
        </is>
      </c>
      <c r="G21" s="7" t="inlineStr">
        <is>
          <t>词汇用固定书/软件；六级用未做过的历年真题；长难句从当天文章或音频选取。</t>
        </is>
      </c>
      <c r="H21" s="6" t="inlineStr">
        <is>
          <t>未开始</t>
        </is>
      </c>
      <c r="I21" s="7" t="inlineStr"/>
      <c r="J21" s="7" t="inlineStr"/>
      <c r="K21" s="7" t="inlineStr"/>
    </row>
    <row r="22" ht="138" customHeight="1">
      <c r="A22" s="5" t="n">
        <v>46332</v>
      </c>
      <c r="B22" s="6" t="inlineStr">
        <is>
          <t>周五</t>
        </is>
      </c>
      <c r="C22" s="6" t="inlineStr">
        <is>
          <t>第3周</t>
        </is>
      </c>
      <c r="D22" s="7" t="inlineStr">
        <is>
          <t>完整写作练习</t>
        </is>
      </c>
      <c r="E22" s="7" t="inlineStr">
        <is>
          <t>【词汇 15分钟】15分钟｜复习昨天及到期旧词；学习15个新词。每词做一次英→中回忆，难词加一个搭配或短句。
【六级专项 35分钟】从历年话题中选一个未练过的题目，5分钟列提纲，20分钟写约120–150词；最后10分钟检查段落功能、连接和基础语法。先写完再参考范文。
【考研基础 15分钟】只选1个最有用的表达积入自己的表达卡片，附自造例句。
【记录 10分钟】10分钟｜闭卷回忆今天错题的正确依据；按原因归类，填错题复习表，并写明明天可做的一步。</t>
        </is>
      </c>
      <c r="F22" s="7" t="inlineStr">
        <is>
          <t>保留初稿和修改稿；用评分清单给“切题、结构、语言准确”各做自评，不追求套高级词。
总计约75分钟。</t>
        </is>
      </c>
      <c r="G22" s="7" t="inlineStr">
        <is>
          <t>词汇用固定书/软件；六级用未做过的历年真题；长难句从当天文章或音频选取。</t>
        </is>
      </c>
      <c r="H22" s="6" t="inlineStr">
        <is>
          <t>未开始</t>
        </is>
      </c>
      <c r="I22" s="7" t="inlineStr"/>
      <c r="J22" s="7" t="inlineStr"/>
      <c r="K22" s="7" t="inlineStr"/>
    </row>
    <row r="23" ht="138" customHeight="1">
      <c r="A23" s="5" t="n">
        <v>46333</v>
      </c>
      <c r="B23" s="6" t="inlineStr">
        <is>
          <t>周六</t>
        </is>
      </c>
      <c r="C23" s="6" t="inlineStr">
        <is>
          <t>第3周</t>
        </is>
      </c>
      <c r="D23" s="7" t="inlineStr">
        <is>
          <t>半套限时训练</t>
        </is>
      </c>
      <c r="E23" s="7" t="inlineStr">
        <is>
          <t>【词汇 15分钟】15分钟｜复习昨天及到期旧词；学习15个新词。每词做一次英→中回忆，难词加一个搭配或短句。
【六级专项 50分钟】挑此前未做的阅读或听力部分，限时完成一组（最多50分钟）；余下时间只订正错题与超时题，比较原计划时间与实际时间。
【考研基础 15分钟】把一条超长错误解析改写成一句“下次看到什么信号就怎么做”。
【记录 10分钟】10分钟｜闭卷回忆今天错题的正确依据；按原因归类，填错题复习表，并写明明天可做的一步。</t>
        </is>
      </c>
      <c r="F23" s="7" t="inlineStr">
        <is>
          <t>形成两列：正确但太慢、答错的题；下周先解决最影响分数的一列。
总计约90分钟。</t>
        </is>
      </c>
      <c r="G23" s="7" t="inlineStr">
        <is>
          <t>词汇用固定书/软件；六级用未做过的历年真题；长难句从当天文章或音频选取。</t>
        </is>
      </c>
      <c r="H23" s="6" t="inlineStr">
        <is>
          <t>未开始</t>
        </is>
      </c>
      <c r="I23" s="7" t="inlineStr"/>
      <c r="J23" s="7" t="inlineStr"/>
      <c r="K23" s="7" t="inlineStr"/>
    </row>
    <row r="24" ht="112" customHeight="1">
      <c r="A24" s="5" t="n">
        <v>46334</v>
      </c>
      <c r="B24" s="6" t="inlineStr">
        <is>
          <t>周日</t>
        </is>
      </c>
      <c r="C24" s="6" t="inlineStr">
        <is>
          <t>第3周</t>
        </is>
      </c>
      <c r="D24" s="7" t="inlineStr">
        <is>
          <t>周复盘＋间隔回忆</t>
        </is>
      </c>
      <c r="E24" s="7" t="inlineStr">
        <is>
          <t>【词汇抽测 15分钟】15分钟｜不学新词；从本周词汇随机抽测20个，只看英文说中文，记录正确数/20，并把不会的词标记为到期复习。
【本周错题 20分钟】不加新词。重做本周第1、3天的错题，先遮住答案；对做对但仍犹豫的题也标记。
【周复盘 10分钟】10分钟｜填写周复盘表：挑1个长句口头拆主干，写下下周唯一改进目标。其余时间休息，不补新课。</t>
        </is>
      </c>
      <c r="F24" s="7" t="inlineStr">
        <is>
          <t>估算错题中“粗心/技巧/理解/词汇”占比，只挑占比最高的一项作为下周重点。
总计约45分钟。</t>
        </is>
      </c>
      <c r="G24" s="7" t="inlineStr">
        <is>
          <t>词汇用固定书/软件；六级用未做过的历年真题；长难句从当天文章或音频选取。</t>
        </is>
      </c>
      <c r="H24" s="6" t="inlineStr">
        <is>
          <t>未开始</t>
        </is>
      </c>
      <c r="I24" s="7" t="inlineStr"/>
      <c r="J24" s="7" t="inlineStr"/>
      <c r="K24" s="7" t="inlineStr"/>
    </row>
    <row r="25" ht="138" customHeight="1">
      <c r="A25" s="8" t="n">
        <v>46335</v>
      </c>
      <c r="B25" s="9" t="inlineStr">
        <is>
          <t>周一</t>
        </is>
      </c>
      <c r="C25" s="9" t="inlineStr">
        <is>
          <t>第4周</t>
        </is>
      </c>
      <c r="D25" s="10" t="inlineStr">
        <is>
          <t>听力阶段复测</t>
        </is>
      </c>
      <c r="E25" s="10" t="inlineStr">
        <is>
          <t>【词汇 15分钟】15分钟｜复习昨天及到期旧词；学习15个新词。每词做一次英→中回忆，难词加一个搭配或短句。
【六级专项 35分钟】选择与第1周同题型、难度相近但未听过的听力材料；采用相同首遍作答、错后定位流程，不回看第1周答案。
【考研基础 15分钟】从新错题中找1句作句子骨架分析，与第1周样本并排保存。
【记录 10分钟】10分钟｜闭卷回忆今天错题的正确依据；按原因归类，填错题复习表，并写明明天可做的一步。</t>
        </is>
      </c>
      <c r="F25" s="10" t="inlineStr">
        <is>
          <t>并排记录两次正确率、耗时及错因；至少找出一项变化及一项仍需加强之处。
总计约75分钟。</t>
        </is>
      </c>
      <c r="G25" s="10" t="inlineStr">
        <is>
          <t>词汇用固定书/软件；六级用未做过的历年真题；长难句从当天文章或音频选取。</t>
        </is>
      </c>
      <c r="H25" s="9" t="inlineStr">
        <is>
          <t>未开始</t>
        </is>
      </c>
      <c r="I25" s="10" t="inlineStr"/>
      <c r="J25" s="10" t="inlineStr"/>
      <c r="K25" s="10" t="inlineStr"/>
    </row>
    <row r="26" ht="138" customHeight="1">
      <c r="A26" s="8" t="n">
        <v>46336</v>
      </c>
      <c r="B26" s="9" t="inlineStr">
        <is>
          <t>周二</t>
        </is>
      </c>
      <c r="C26" s="9" t="inlineStr">
        <is>
          <t>第4周</t>
        </is>
      </c>
      <c r="D26" s="10" t="inlineStr">
        <is>
          <t>阅读阶段复测</t>
        </is>
      </c>
      <c r="E26" s="10" t="inlineStr">
        <is>
          <t>【词汇 15分钟】15分钟｜复习昨天及到期旧词；学习15个新词。每词做一次英→中回忆，难词加一个搭配或短句。
【六级专项 40分钟】选一篇与第1周题型、长度接近的新阅读，限时完成；记录每题证据句和总耗时。不要重复做已见过的文章。
【考研基础 15分钟】写出文章中心句，再标出支持它的两处证据。
【记录 10分钟】10分钟｜闭卷回忆今天错题的正确依据；按原因归类，填错题复习表，并写明明天可做的一步。</t>
        </is>
      </c>
      <c r="F26" s="10" t="inlineStr">
        <is>
          <t>比较新旧基线正确率与用时；错题写清定位、同义替换或推断中哪个环节断了。
总计约80分钟。</t>
        </is>
      </c>
      <c r="G26" s="10" t="inlineStr">
        <is>
          <t>词汇用固定书/软件；六级用未做过的历年真题；长难句从当天文章或音频选取。</t>
        </is>
      </c>
      <c r="H26" s="9" t="inlineStr">
        <is>
          <t>未开始</t>
        </is>
      </c>
      <c r="I26" s="10" t="inlineStr"/>
      <c r="J26" s="10" t="inlineStr"/>
      <c r="K26" s="10" t="inlineStr"/>
    </row>
    <row r="27" ht="138" customHeight="1">
      <c r="A27" s="8" t="n">
        <v>46337</v>
      </c>
      <c r="B27" s="9" t="inlineStr">
        <is>
          <t>周三</t>
        </is>
      </c>
      <c r="C27" s="9" t="inlineStr">
        <is>
          <t>第4周</t>
        </is>
      </c>
      <c r="D27" s="10" t="inlineStr">
        <is>
          <t>写作阶段复测</t>
        </is>
      </c>
      <c r="E27" s="10" t="inlineStr">
        <is>
          <t>【词汇 15分钟】15分钟｜复习昨天及到期旧词；学习15个新词。每词做一次英→中回忆，难词加一个搭配或短句。
【六级专项 35分钟】按第1周同一规则写新话题段落，控制在约120–150词，时间不超25分钟；剩余时间对照评分清单自查，不看旧文重写。
【考研基础 15分钟】归档最满意的一句自写英文及其中文含义，作为自己的表达素材。
【记录 10分钟】10分钟｜闭卷回忆今天错题的正确依据；按原因归类，填错题复习表，并写明明天可做的一步。</t>
        </is>
      </c>
      <c r="F27" s="10" t="inlineStr">
        <is>
          <t>把两周作文各找出一个反复出现的错误；统计主题句、论据、结尾是否齐全。
总计约75分钟。</t>
        </is>
      </c>
      <c r="G27" s="10" t="inlineStr">
        <is>
          <t>词汇用固定书/软件；六级用未做过的历年真题；长难句从当天文章或音频选取。</t>
        </is>
      </c>
      <c r="H27" s="9" t="inlineStr">
        <is>
          <t>未开始</t>
        </is>
      </c>
      <c r="I27" s="10" t="inlineStr"/>
      <c r="J27" s="10" t="inlineStr"/>
      <c r="K27" s="10" t="inlineStr"/>
    </row>
    <row r="28" ht="138" customHeight="1">
      <c r="A28" s="8" t="n">
        <v>46338</v>
      </c>
      <c r="B28" s="9" t="inlineStr">
        <is>
          <t>周四</t>
        </is>
      </c>
      <c r="C28" s="9" t="inlineStr">
        <is>
          <t>第4周</t>
        </is>
      </c>
      <c r="D28" s="10" t="inlineStr">
        <is>
          <t>翻译阶段复测</t>
        </is>
      </c>
      <c r="E28" s="10" t="inlineStr">
        <is>
          <t>【词汇 15分钟】15分钟｜复习昨天及到期旧词；学习15个新词。每词做一次英→中回忆，难词加一个搭配或短句。
【六级专项 40分钟】选新段落，长度与第1周接近，先断句再翻译，计时完成；对照参考译文检查漏译、时态、主谓和搭配。
【考研基础 15分钟】将自己的一个典型中文式表达改写成地道、简洁的英文。
【记录 10分钟】10分钟｜闭卷回忆今天错题的正确依据；按原因归类，填错题复习表，并写明明天可做的一步。</t>
        </is>
      </c>
      <c r="F28" s="10" t="inlineStr">
        <is>
          <t>比较首末两份译文；列出已稳定的1项和下一轮要练的2项。
总计约80分钟。</t>
        </is>
      </c>
      <c r="G28" s="10" t="inlineStr">
        <is>
          <t>词汇用固定书/软件；六级用未做过的历年真题；长难句从当天文章或音频选取。</t>
        </is>
      </c>
      <c r="H28" s="9" t="inlineStr">
        <is>
          <t>未开始</t>
        </is>
      </c>
      <c r="I28" s="10" t="inlineStr"/>
      <c r="J28" s="10" t="inlineStr"/>
      <c r="K28" s="10" t="inlineStr"/>
    </row>
    <row r="29" ht="138" customHeight="1">
      <c r="A29" s="8" t="n">
        <v>46339</v>
      </c>
      <c r="B29" s="9" t="inlineStr">
        <is>
          <t>周五</t>
        </is>
      </c>
      <c r="C29" s="9" t="inlineStr">
        <is>
          <t>第4周</t>
        </is>
      </c>
      <c r="D29" s="10" t="inlineStr">
        <is>
          <t>综合小测</t>
        </is>
      </c>
      <c r="E29" s="10" t="inlineStr">
        <is>
          <t>【词汇 15分钟】15分钟｜复习昨天及到期旧词；学习15个新词。每词做一次英→中回忆，难词加一个搭配或短句。
【六级专项 35分钟】完成新材料听力一段＋阅读一小组题（合计35分钟，按题面时间分配）；结束后再订正，不在作答中查词或暂停。
【考研基础 15分钟】从综合测中选一条最复杂句，分主句、修饰语、连接关系三层标注。
【记录 10分钟】10分钟｜闭卷回忆今天错题的正确依据；按原因归类，填错题复习表，并写明明天可做的一步。</t>
        </is>
      </c>
      <c r="F29" s="10" t="inlineStr">
        <is>
          <t>记录总体用时、分项正确率和最主要失分来源；留存答题记录用于下月对照。
总计约75分钟。</t>
        </is>
      </c>
      <c r="G29" s="10" t="inlineStr">
        <is>
          <t>词汇用固定书/软件；六级用未做过的历年真题；长难句从当天文章或音频选取。</t>
        </is>
      </c>
      <c r="H29" s="9" t="inlineStr">
        <is>
          <t>未开始</t>
        </is>
      </c>
      <c r="I29" s="10" t="inlineStr"/>
      <c r="J29" s="10" t="inlineStr"/>
      <c r="K29" s="10" t="inlineStr"/>
    </row>
    <row r="30" ht="138" customHeight="1">
      <c r="A30" s="8" t="n">
        <v>46340</v>
      </c>
      <c r="B30" s="9" t="inlineStr">
        <is>
          <t>周六</t>
        </is>
      </c>
      <c r="C30" s="9" t="inlineStr">
        <is>
          <t>第4周</t>
        </is>
      </c>
      <c r="D30" s="10" t="inlineStr">
        <is>
          <t>针对性补缺</t>
        </is>
      </c>
      <c r="E30" s="10" t="inlineStr">
        <is>
          <t>【词汇 15分钟】15分钟｜复习昨天及到期旧词；学习15个新词。每词做一次英→中回忆，难词加一个搭配或短句。
【六级专项 50分钟】按前几周数据选择最弱的一项：听力重听并分析错点后再做一组新题；阅读重做错题并加练同题型新题；写作重写并自查；翻译重译首周错段后再译一小段。只选一项，50分钟内完成。
【考研基础 15分钟】回顾考研英语基础任务，确认词汇、句法、阅读中最适合下一阶段的切入点。
【记录 10分钟】10分钟｜闭卷回忆今天错题的正确依据；按原因归类，填错题复习表，并写明明天可做的一步。</t>
        </is>
      </c>
      <c r="F30" s="10" t="inlineStr">
        <is>
          <t>验证自己能否用新方法独立完成同类问题；若仍错，明确记录下轮要复习的知识点。
总计约90分钟。</t>
        </is>
      </c>
      <c r="G30" s="10" t="inlineStr">
        <is>
          <t>词汇用固定书/软件；六级用未做过的历年真题；长难句从当天文章或音频选取。</t>
        </is>
      </c>
      <c r="H30" s="9" t="inlineStr">
        <is>
          <t>未开始</t>
        </is>
      </c>
      <c r="I30" s="10" t="inlineStr"/>
      <c r="J30" s="10" t="inlineStr"/>
      <c r="K30" s="10" t="inlineStr"/>
    </row>
    <row r="31" ht="112" customHeight="1">
      <c r="A31" s="8" t="n">
        <v>46341</v>
      </c>
      <c r="B31" s="9" t="inlineStr">
        <is>
          <t>周日</t>
        </is>
      </c>
      <c r="C31" s="9" t="inlineStr">
        <is>
          <t>第4周</t>
        </is>
      </c>
      <c r="D31" s="10" t="inlineStr">
        <is>
          <t>总结＋下阶段计划</t>
        </is>
      </c>
      <c r="E31" s="10" t="inlineStr">
        <is>
          <t>【词汇抽测 15分钟】15分钟｜不学新词；从本周词汇随机抽测20个，只看英文说中文，记录正确数/20，并把不会的词标记为到期复习。
【本周错题 20分钟】不加新词。重做5道本月错题，复看基线与本周数据；剩余时间确定下一个四周的唯一主目标。
【周复盘 10分钟】10分钟｜填写周复盘表：挑1个长句口头拆主干，写下下周唯一改进目标。其余时间休息，不补新课。</t>
        </is>
      </c>
      <c r="F31" s="10" t="inlineStr">
        <is>
          <t>完成四周复盘：听读写译各有1条证据；目标只写具体可记录的动作，不只写“提高英语”。
总计约45分钟。</t>
        </is>
      </c>
      <c r="G31" s="10" t="inlineStr">
        <is>
          <t>词汇用固定书/软件；六级用未做过的历年真题；长难句从当天文章或音频选取。</t>
        </is>
      </c>
      <c r="H31" s="9" t="inlineStr">
        <is>
          <t>未开始</t>
        </is>
      </c>
      <c r="I31" s="10" t="inlineStr"/>
      <c r="J31" s="10" t="inlineStr"/>
      <c r="K31" s="10" t="inlineStr"/>
    </row>
  </sheetData>
  <autoFilter ref="A3:K31"/>
  <mergeCells count="2">
    <mergeCell ref="A2:K2"/>
    <mergeCell ref="A1:K1"/>
  </mergeCells>
  <conditionalFormatting sqref="H4:H31">
    <cfRule type="expression" priority="1" dxfId="0">
      <formula>H4="已完成"</formula>
    </cfRule>
    <cfRule type="expression" priority="2" dxfId="1">
      <formula>H4="缩短版"</formula>
    </cfRule>
  </conditionalFormatting>
  <dataValidations count="1">
    <dataValidation sqref="H4:H31" showDropDown="0" showInputMessage="0" showErrorMessage="0" allowBlank="0" errorTitle="状态格式不正确" error="请选择下拉菜单中的状态。" promptTitle="每日打卡" prompt="如当天只完成缩短版，请照实记录。" type="list">
      <formula1>"未开始,已完成,缩短版,顺延"</formula1>
    </dataValidation>
  </dataValidations>
  <pageMargins left="0.25" right="0.25" top="0.45" bottom="0.45" header="0.5" footer="0.5"/>
  <pageSetup orientation="landscape" paperSize="9" fitToHeight="0" fitToWidth="1"/>
  <headerFooter>
    <oddHeader/>
    <oddFooter>&amp;C&amp;8 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44760"/>
    <outlinePr summaryBelow="1" summaryRight="1"/>
    <pageSetUpPr fitToPage="1"/>
  </sheetPr>
  <dimension ref="A1:L31"/>
  <sheetViews>
    <sheetView showGridLines="0" zoomScale="80" workbookViewId="0">
      <pane xSplit="2" ySplit="3" topLeftCell="C4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14" customWidth="1" min="4" max="4"/>
    <col width="15" customWidth="1" min="5" max="5"/>
    <col width="14" customWidth="1" min="6" max="6"/>
    <col width="15" customWidth="1" min="7" max="7"/>
    <col width="18" customWidth="1" min="8" max="8"/>
    <col width="27" customWidth="1" min="9" max="9"/>
    <col width="27" customWidth="1" min="10" max="10"/>
    <col width="13" customWidth="1" min="11" max="11"/>
    <col width="15" customWidth="1" min="12" max="12"/>
  </cols>
  <sheetData>
    <row r="1" ht="38" customHeight="1">
      <c r="A1" s="1" t="inlineStr">
        <is>
          <t>每日打卡</t>
        </is>
      </c>
    </row>
    <row r="2" ht="32" customHeight="1">
      <c r="A2" s="2" t="inlineStr">
        <is>
          <t>如实记录即可；正确率 = 正确题数 ÷ 总题数。没有测验的项目留空。</t>
        </is>
      </c>
    </row>
    <row r="3" ht="32" customHeight="1">
      <c r="A3" s="3" t="inlineStr">
        <is>
          <t>日期</t>
        </is>
      </c>
      <c r="B3" s="3" t="inlineStr">
        <is>
          <t>新词数</t>
        </is>
      </c>
      <c r="C3" s="3" t="inlineStr">
        <is>
          <t>旧词回忆率</t>
        </is>
      </c>
      <c r="D3" s="3" t="inlineStr">
        <is>
          <t>听力题数</t>
        </is>
      </c>
      <c r="E3" s="3" t="inlineStr">
        <is>
          <t>听力正确率</t>
        </is>
      </c>
      <c r="F3" s="3" t="inlineStr">
        <is>
          <t>阅读题数</t>
        </is>
      </c>
      <c r="G3" s="3" t="inlineStr">
        <is>
          <t>阅读正确率</t>
        </is>
      </c>
      <c r="H3" s="3" t="inlineStr">
        <is>
          <t>写作/翻译成果</t>
        </is>
      </c>
      <c r="I3" s="3" t="inlineStr">
        <is>
          <t>今日主要错误</t>
        </is>
      </c>
      <c r="J3" s="3" t="inlineStr">
        <is>
          <t>明日具体动作</t>
        </is>
      </c>
      <c r="K3" s="3" t="inlineStr">
        <is>
          <t>实际分钟</t>
        </is>
      </c>
      <c r="L3" s="3" t="inlineStr">
        <is>
          <t>计划状态</t>
        </is>
      </c>
    </row>
    <row r="4" ht="35" customHeight="1">
      <c r="A4" s="11" t="n">
        <v>46314</v>
      </c>
      <c r="B4" s="7" t="n">
        <v>15</v>
      </c>
      <c r="C4" s="12" t="inlineStr"/>
      <c r="D4" s="7" t="inlineStr"/>
      <c r="E4" s="12" t="inlineStr"/>
      <c r="F4" s="7" t="inlineStr"/>
      <c r="G4" s="12" t="inlineStr"/>
      <c r="H4" s="7" t="inlineStr"/>
      <c r="I4" s="7" t="inlineStr"/>
      <c r="J4" s="7" t="inlineStr"/>
      <c r="K4" s="7" t="inlineStr"/>
      <c r="L4" s="7" t="inlineStr">
        <is>
          <t>未开始</t>
        </is>
      </c>
    </row>
    <row r="5" ht="35" customHeight="1">
      <c r="A5" s="11" t="n">
        <v>46315</v>
      </c>
      <c r="B5" s="7" t="n">
        <v>15</v>
      </c>
      <c r="C5" s="12" t="inlineStr"/>
      <c r="D5" s="7" t="inlineStr"/>
      <c r="E5" s="12" t="inlineStr"/>
      <c r="F5" s="7" t="inlineStr"/>
      <c r="G5" s="12" t="inlineStr"/>
      <c r="H5" s="7" t="inlineStr"/>
      <c r="I5" s="7" t="inlineStr"/>
      <c r="J5" s="7" t="inlineStr"/>
      <c r="K5" s="7" t="inlineStr"/>
      <c r="L5" s="7" t="inlineStr">
        <is>
          <t>未开始</t>
        </is>
      </c>
    </row>
    <row r="6" ht="35" customHeight="1">
      <c r="A6" s="11" t="n">
        <v>46316</v>
      </c>
      <c r="B6" s="7" t="n">
        <v>15</v>
      </c>
      <c r="C6" s="12" t="inlineStr"/>
      <c r="D6" s="7" t="inlineStr"/>
      <c r="E6" s="12" t="inlineStr"/>
      <c r="F6" s="7" t="inlineStr"/>
      <c r="G6" s="12" t="inlineStr"/>
      <c r="H6" s="7" t="inlineStr"/>
      <c r="I6" s="7" t="inlineStr"/>
      <c r="J6" s="7" t="inlineStr"/>
      <c r="K6" s="7" t="inlineStr"/>
      <c r="L6" s="7" t="inlineStr">
        <is>
          <t>未开始</t>
        </is>
      </c>
    </row>
    <row r="7" ht="35" customHeight="1">
      <c r="A7" s="11" t="n">
        <v>46317</v>
      </c>
      <c r="B7" s="7" t="n">
        <v>15</v>
      </c>
      <c r="C7" s="12" t="inlineStr"/>
      <c r="D7" s="7" t="inlineStr"/>
      <c r="E7" s="12" t="inlineStr"/>
      <c r="F7" s="7" t="inlineStr"/>
      <c r="G7" s="12" t="inlineStr"/>
      <c r="H7" s="7" t="inlineStr"/>
      <c r="I7" s="7" t="inlineStr"/>
      <c r="J7" s="7" t="inlineStr"/>
      <c r="K7" s="7" t="inlineStr"/>
      <c r="L7" s="7" t="inlineStr">
        <is>
          <t>未开始</t>
        </is>
      </c>
    </row>
    <row r="8" ht="35" customHeight="1">
      <c r="A8" s="11" t="n">
        <v>46318</v>
      </c>
      <c r="B8" s="7" t="n">
        <v>15</v>
      </c>
      <c r="C8" s="12" t="inlineStr"/>
      <c r="D8" s="7" t="inlineStr"/>
      <c r="E8" s="12" t="inlineStr"/>
      <c r="F8" s="7" t="inlineStr"/>
      <c r="G8" s="12" t="inlineStr"/>
      <c r="H8" s="7" t="inlineStr"/>
      <c r="I8" s="7" t="inlineStr"/>
      <c r="J8" s="7" t="inlineStr"/>
      <c r="K8" s="7" t="inlineStr"/>
      <c r="L8" s="7" t="inlineStr">
        <is>
          <t>未开始</t>
        </is>
      </c>
    </row>
    <row r="9" ht="35" customHeight="1">
      <c r="A9" s="11" t="n">
        <v>46319</v>
      </c>
      <c r="B9" s="7" t="n">
        <v>15</v>
      </c>
      <c r="C9" s="12" t="inlineStr"/>
      <c r="D9" s="7" t="inlineStr"/>
      <c r="E9" s="12" t="inlineStr"/>
      <c r="F9" s="7" t="inlineStr"/>
      <c r="G9" s="12" t="inlineStr"/>
      <c r="H9" s="7" t="inlineStr"/>
      <c r="I9" s="7" t="inlineStr"/>
      <c r="J9" s="7" t="inlineStr"/>
      <c r="K9" s="7" t="inlineStr"/>
      <c r="L9" s="7" t="inlineStr">
        <is>
          <t>未开始</t>
        </is>
      </c>
    </row>
    <row r="10" ht="35" customHeight="1">
      <c r="A10" s="11" t="n">
        <v>46320</v>
      </c>
      <c r="B10" s="7" t="n">
        <v>0</v>
      </c>
      <c r="C10" s="12" t="inlineStr"/>
      <c r="D10" s="7" t="inlineStr"/>
      <c r="E10" s="12" t="inlineStr"/>
      <c r="F10" s="7" t="inlineStr"/>
      <c r="G10" s="12" t="inlineStr"/>
      <c r="H10" s="7" t="inlineStr"/>
      <c r="I10" s="7" t="inlineStr"/>
      <c r="J10" s="7" t="inlineStr"/>
      <c r="K10" s="7" t="inlineStr"/>
      <c r="L10" s="7" t="inlineStr">
        <is>
          <t>未开始</t>
        </is>
      </c>
    </row>
    <row r="11" ht="35" customHeight="1">
      <c r="A11" s="13" t="n">
        <v>46321</v>
      </c>
      <c r="B11" s="10" t="n">
        <v>15</v>
      </c>
      <c r="C11" s="14" t="inlineStr"/>
      <c r="D11" s="10" t="inlineStr"/>
      <c r="E11" s="14" t="inlineStr"/>
      <c r="F11" s="10" t="inlineStr"/>
      <c r="G11" s="14" t="inlineStr"/>
      <c r="H11" s="10" t="inlineStr"/>
      <c r="I11" s="10" t="inlineStr"/>
      <c r="J11" s="10" t="inlineStr"/>
      <c r="K11" s="10" t="inlineStr"/>
      <c r="L11" s="10" t="inlineStr">
        <is>
          <t>未开始</t>
        </is>
      </c>
    </row>
    <row r="12" ht="35" customHeight="1">
      <c r="A12" s="13" t="n">
        <v>46322</v>
      </c>
      <c r="B12" s="10" t="n">
        <v>15</v>
      </c>
      <c r="C12" s="14" t="inlineStr"/>
      <c r="D12" s="10" t="inlineStr"/>
      <c r="E12" s="14" t="inlineStr"/>
      <c r="F12" s="10" t="inlineStr"/>
      <c r="G12" s="14" t="inlineStr"/>
      <c r="H12" s="10" t="inlineStr"/>
      <c r="I12" s="10" t="inlineStr"/>
      <c r="J12" s="10" t="inlineStr"/>
      <c r="K12" s="10" t="inlineStr"/>
      <c r="L12" s="10" t="inlineStr">
        <is>
          <t>未开始</t>
        </is>
      </c>
    </row>
    <row r="13" ht="35" customHeight="1">
      <c r="A13" s="13" t="n">
        <v>46323</v>
      </c>
      <c r="B13" s="10" t="n">
        <v>15</v>
      </c>
      <c r="C13" s="14" t="inlineStr"/>
      <c r="D13" s="10" t="inlineStr"/>
      <c r="E13" s="14" t="inlineStr"/>
      <c r="F13" s="10" t="inlineStr"/>
      <c r="G13" s="14" t="inlineStr"/>
      <c r="H13" s="10" t="inlineStr"/>
      <c r="I13" s="10" t="inlineStr"/>
      <c r="J13" s="10" t="inlineStr"/>
      <c r="K13" s="10" t="inlineStr"/>
      <c r="L13" s="10" t="inlineStr">
        <is>
          <t>未开始</t>
        </is>
      </c>
    </row>
    <row r="14" ht="35" customHeight="1">
      <c r="A14" s="13" t="n">
        <v>46324</v>
      </c>
      <c r="B14" s="10" t="n">
        <v>15</v>
      </c>
      <c r="C14" s="14" t="inlineStr"/>
      <c r="D14" s="10" t="inlineStr"/>
      <c r="E14" s="14" t="inlineStr"/>
      <c r="F14" s="10" t="inlineStr"/>
      <c r="G14" s="14" t="inlineStr"/>
      <c r="H14" s="10" t="inlineStr"/>
      <c r="I14" s="10" t="inlineStr"/>
      <c r="J14" s="10" t="inlineStr"/>
      <c r="K14" s="10" t="inlineStr"/>
      <c r="L14" s="10" t="inlineStr">
        <is>
          <t>未开始</t>
        </is>
      </c>
    </row>
    <row r="15" ht="35" customHeight="1">
      <c r="A15" s="13" t="n">
        <v>46325</v>
      </c>
      <c r="B15" s="10" t="n">
        <v>15</v>
      </c>
      <c r="C15" s="14" t="inlineStr"/>
      <c r="D15" s="10" t="inlineStr"/>
      <c r="E15" s="14" t="inlineStr"/>
      <c r="F15" s="10" t="inlineStr"/>
      <c r="G15" s="14" t="inlineStr"/>
      <c r="H15" s="10" t="inlineStr"/>
      <c r="I15" s="10" t="inlineStr"/>
      <c r="J15" s="10" t="inlineStr"/>
      <c r="K15" s="10" t="inlineStr"/>
      <c r="L15" s="10" t="inlineStr">
        <is>
          <t>未开始</t>
        </is>
      </c>
    </row>
    <row r="16" ht="35" customHeight="1">
      <c r="A16" s="13" t="n">
        <v>46326</v>
      </c>
      <c r="B16" s="10" t="n">
        <v>15</v>
      </c>
      <c r="C16" s="14" t="inlineStr"/>
      <c r="D16" s="10" t="inlineStr"/>
      <c r="E16" s="14" t="inlineStr"/>
      <c r="F16" s="10" t="inlineStr"/>
      <c r="G16" s="14" t="inlineStr"/>
      <c r="H16" s="10" t="inlineStr"/>
      <c r="I16" s="10" t="inlineStr"/>
      <c r="J16" s="10" t="inlineStr"/>
      <c r="K16" s="10" t="inlineStr"/>
      <c r="L16" s="10" t="inlineStr">
        <is>
          <t>未开始</t>
        </is>
      </c>
    </row>
    <row r="17" ht="35" customHeight="1">
      <c r="A17" s="13" t="n">
        <v>46327</v>
      </c>
      <c r="B17" s="10" t="n">
        <v>0</v>
      </c>
      <c r="C17" s="14" t="inlineStr"/>
      <c r="D17" s="10" t="inlineStr"/>
      <c r="E17" s="14" t="inlineStr"/>
      <c r="F17" s="10" t="inlineStr"/>
      <c r="G17" s="14" t="inlineStr"/>
      <c r="H17" s="10" t="inlineStr"/>
      <c r="I17" s="10" t="inlineStr"/>
      <c r="J17" s="10" t="inlineStr"/>
      <c r="K17" s="10" t="inlineStr"/>
      <c r="L17" s="10" t="inlineStr">
        <is>
          <t>未开始</t>
        </is>
      </c>
    </row>
    <row r="18" ht="35" customHeight="1">
      <c r="A18" s="11" t="n">
        <v>46328</v>
      </c>
      <c r="B18" s="7" t="n">
        <v>15</v>
      </c>
      <c r="C18" s="12" t="inlineStr"/>
      <c r="D18" s="7" t="inlineStr"/>
      <c r="E18" s="12" t="inlineStr"/>
      <c r="F18" s="7" t="inlineStr"/>
      <c r="G18" s="12" t="inlineStr"/>
      <c r="H18" s="7" t="inlineStr"/>
      <c r="I18" s="7" t="inlineStr"/>
      <c r="J18" s="7" t="inlineStr"/>
      <c r="K18" s="7" t="inlineStr"/>
      <c r="L18" s="7" t="inlineStr">
        <is>
          <t>未开始</t>
        </is>
      </c>
    </row>
    <row r="19" ht="35" customHeight="1">
      <c r="A19" s="11" t="n">
        <v>46329</v>
      </c>
      <c r="B19" s="7" t="n">
        <v>15</v>
      </c>
      <c r="C19" s="12" t="inlineStr"/>
      <c r="D19" s="7" t="inlineStr"/>
      <c r="E19" s="12" t="inlineStr"/>
      <c r="F19" s="7" t="inlineStr"/>
      <c r="G19" s="12" t="inlineStr"/>
      <c r="H19" s="7" t="inlineStr"/>
      <c r="I19" s="7" t="inlineStr"/>
      <c r="J19" s="7" t="inlineStr"/>
      <c r="K19" s="7" t="inlineStr"/>
      <c r="L19" s="7" t="inlineStr">
        <is>
          <t>未开始</t>
        </is>
      </c>
    </row>
    <row r="20" ht="35" customHeight="1">
      <c r="A20" s="11" t="n">
        <v>46330</v>
      </c>
      <c r="B20" s="7" t="n">
        <v>15</v>
      </c>
      <c r="C20" s="12" t="inlineStr"/>
      <c r="D20" s="7" t="inlineStr"/>
      <c r="E20" s="12" t="inlineStr"/>
      <c r="F20" s="7" t="inlineStr"/>
      <c r="G20" s="12" t="inlineStr"/>
      <c r="H20" s="7" t="inlineStr"/>
      <c r="I20" s="7" t="inlineStr"/>
      <c r="J20" s="7" t="inlineStr"/>
      <c r="K20" s="7" t="inlineStr"/>
      <c r="L20" s="7" t="inlineStr">
        <is>
          <t>未开始</t>
        </is>
      </c>
    </row>
    <row r="21" ht="35" customHeight="1">
      <c r="A21" s="11" t="n">
        <v>46331</v>
      </c>
      <c r="B21" s="7" t="n">
        <v>15</v>
      </c>
      <c r="C21" s="12" t="inlineStr"/>
      <c r="D21" s="7" t="inlineStr"/>
      <c r="E21" s="12" t="inlineStr"/>
      <c r="F21" s="7" t="inlineStr"/>
      <c r="G21" s="12" t="inlineStr"/>
      <c r="H21" s="7" t="inlineStr"/>
      <c r="I21" s="7" t="inlineStr"/>
      <c r="J21" s="7" t="inlineStr"/>
      <c r="K21" s="7" t="inlineStr"/>
      <c r="L21" s="7" t="inlineStr">
        <is>
          <t>未开始</t>
        </is>
      </c>
    </row>
    <row r="22" ht="35" customHeight="1">
      <c r="A22" s="11" t="n">
        <v>46332</v>
      </c>
      <c r="B22" s="7" t="n">
        <v>15</v>
      </c>
      <c r="C22" s="12" t="inlineStr"/>
      <c r="D22" s="7" t="inlineStr"/>
      <c r="E22" s="12" t="inlineStr"/>
      <c r="F22" s="7" t="inlineStr"/>
      <c r="G22" s="12" t="inlineStr"/>
      <c r="H22" s="7" t="inlineStr"/>
      <c r="I22" s="7" t="inlineStr"/>
      <c r="J22" s="7" t="inlineStr"/>
      <c r="K22" s="7" t="inlineStr"/>
      <c r="L22" s="7" t="inlineStr">
        <is>
          <t>未开始</t>
        </is>
      </c>
    </row>
    <row r="23" ht="35" customHeight="1">
      <c r="A23" s="11" t="n">
        <v>46333</v>
      </c>
      <c r="B23" s="7" t="n">
        <v>15</v>
      </c>
      <c r="C23" s="12" t="inlineStr"/>
      <c r="D23" s="7" t="inlineStr"/>
      <c r="E23" s="12" t="inlineStr"/>
      <c r="F23" s="7" t="inlineStr"/>
      <c r="G23" s="12" t="inlineStr"/>
      <c r="H23" s="7" t="inlineStr"/>
      <c r="I23" s="7" t="inlineStr"/>
      <c r="J23" s="7" t="inlineStr"/>
      <c r="K23" s="7" t="inlineStr"/>
      <c r="L23" s="7" t="inlineStr">
        <is>
          <t>未开始</t>
        </is>
      </c>
    </row>
    <row r="24" ht="35" customHeight="1">
      <c r="A24" s="11" t="n">
        <v>46334</v>
      </c>
      <c r="B24" s="7" t="n">
        <v>0</v>
      </c>
      <c r="C24" s="12" t="inlineStr"/>
      <c r="D24" s="7" t="inlineStr"/>
      <c r="E24" s="12" t="inlineStr"/>
      <c r="F24" s="7" t="inlineStr"/>
      <c r="G24" s="12" t="inlineStr"/>
      <c r="H24" s="7" t="inlineStr"/>
      <c r="I24" s="7" t="inlineStr"/>
      <c r="J24" s="7" t="inlineStr"/>
      <c r="K24" s="7" t="inlineStr"/>
      <c r="L24" s="7" t="inlineStr">
        <is>
          <t>未开始</t>
        </is>
      </c>
    </row>
    <row r="25" ht="35" customHeight="1">
      <c r="A25" s="13" t="n">
        <v>46335</v>
      </c>
      <c r="B25" s="10" t="n">
        <v>15</v>
      </c>
      <c r="C25" s="14" t="inlineStr"/>
      <c r="D25" s="10" t="inlineStr"/>
      <c r="E25" s="14" t="inlineStr"/>
      <c r="F25" s="10" t="inlineStr"/>
      <c r="G25" s="14" t="inlineStr"/>
      <c r="H25" s="10" t="inlineStr"/>
      <c r="I25" s="10" t="inlineStr"/>
      <c r="J25" s="10" t="inlineStr"/>
      <c r="K25" s="10" t="inlineStr"/>
      <c r="L25" s="10" t="inlineStr">
        <is>
          <t>未开始</t>
        </is>
      </c>
    </row>
    <row r="26" ht="35" customHeight="1">
      <c r="A26" s="13" t="n">
        <v>46336</v>
      </c>
      <c r="B26" s="10" t="n">
        <v>15</v>
      </c>
      <c r="C26" s="14" t="inlineStr"/>
      <c r="D26" s="10" t="inlineStr"/>
      <c r="E26" s="14" t="inlineStr"/>
      <c r="F26" s="10" t="inlineStr"/>
      <c r="G26" s="14" t="inlineStr"/>
      <c r="H26" s="10" t="inlineStr"/>
      <c r="I26" s="10" t="inlineStr"/>
      <c r="J26" s="10" t="inlineStr"/>
      <c r="K26" s="10" t="inlineStr"/>
      <c r="L26" s="10" t="inlineStr">
        <is>
          <t>未开始</t>
        </is>
      </c>
    </row>
    <row r="27" ht="35" customHeight="1">
      <c r="A27" s="13" t="n">
        <v>46337</v>
      </c>
      <c r="B27" s="10" t="n">
        <v>15</v>
      </c>
      <c r="C27" s="14" t="inlineStr"/>
      <c r="D27" s="10" t="inlineStr"/>
      <c r="E27" s="14" t="inlineStr"/>
      <c r="F27" s="10" t="inlineStr"/>
      <c r="G27" s="14" t="inlineStr"/>
      <c r="H27" s="10" t="inlineStr"/>
      <c r="I27" s="10" t="inlineStr"/>
      <c r="J27" s="10" t="inlineStr"/>
      <c r="K27" s="10" t="inlineStr"/>
      <c r="L27" s="10" t="inlineStr">
        <is>
          <t>未开始</t>
        </is>
      </c>
    </row>
    <row r="28" ht="35" customHeight="1">
      <c r="A28" s="13" t="n">
        <v>46338</v>
      </c>
      <c r="B28" s="10" t="n">
        <v>15</v>
      </c>
      <c r="C28" s="14" t="inlineStr"/>
      <c r="D28" s="10" t="inlineStr"/>
      <c r="E28" s="14" t="inlineStr"/>
      <c r="F28" s="10" t="inlineStr"/>
      <c r="G28" s="14" t="inlineStr"/>
      <c r="H28" s="10" t="inlineStr"/>
      <c r="I28" s="10" t="inlineStr"/>
      <c r="J28" s="10" t="inlineStr"/>
      <c r="K28" s="10" t="inlineStr"/>
      <c r="L28" s="10" t="inlineStr">
        <is>
          <t>未开始</t>
        </is>
      </c>
    </row>
    <row r="29" ht="35" customHeight="1">
      <c r="A29" s="13" t="n">
        <v>46339</v>
      </c>
      <c r="B29" s="10" t="n">
        <v>15</v>
      </c>
      <c r="C29" s="14" t="inlineStr"/>
      <c r="D29" s="10" t="inlineStr"/>
      <c r="E29" s="14" t="inlineStr"/>
      <c r="F29" s="10" t="inlineStr"/>
      <c r="G29" s="14" t="inlineStr"/>
      <c r="H29" s="10" t="inlineStr"/>
      <c r="I29" s="10" t="inlineStr"/>
      <c r="J29" s="10" t="inlineStr"/>
      <c r="K29" s="10" t="inlineStr"/>
      <c r="L29" s="10" t="inlineStr">
        <is>
          <t>未开始</t>
        </is>
      </c>
    </row>
    <row r="30" ht="35" customHeight="1">
      <c r="A30" s="13" t="n">
        <v>46340</v>
      </c>
      <c r="B30" s="10" t="n">
        <v>15</v>
      </c>
      <c r="C30" s="14" t="inlineStr"/>
      <c r="D30" s="10" t="inlineStr"/>
      <c r="E30" s="14" t="inlineStr"/>
      <c r="F30" s="10" t="inlineStr"/>
      <c r="G30" s="14" t="inlineStr"/>
      <c r="H30" s="10" t="inlineStr"/>
      <c r="I30" s="10" t="inlineStr"/>
      <c r="J30" s="10" t="inlineStr"/>
      <c r="K30" s="10" t="inlineStr"/>
      <c r="L30" s="10" t="inlineStr">
        <is>
          <t>未开始</t>
        </is>
      </c>
    </row>
    <row r="31" ht="35" customHeight="1">
      <c r="A31" s="13" t="n">
        <v>46341</v>
      </c>
      <c r="B31" s="10" t="n">
        <v>0</v>
      </c>
      <c r="C31" s="14" t="inlineStr"/>
      <c r="D31" s="10" t="inlineStr"/>
      <c r="E31" s="14" t="inlineStr"/>
      <c r="F31" s="10" t="inlineStr"/>
      <c r="G31" s="14" t="inlineStr"/>
      <c r="H31" s="10" t="inlineStr"/>
      <c r="I31" s="10" t="inlineStr"/>
      <c r="J31" s="10" t="inlineStr"/>
      <c r="K31" s="10" t="inlineStr"/>
      <c r="L31" s="10" t="inlineStr">
        <is>
          <t>未开始</t>
        </is>
      </c>
    </row>
  </sheetData>
  <autoFilter ref="A3:L31"/>
  <mergeCells count="2">
    <mergeCell ref="A2:L2"/>
    <mergeCell ref="A1:L1"/>
  </mergeCells>
  <dataValidations count="4">
    <dataValidation sqref="C4:C31" showDropDown="0" showInputMessage="0" showErrorMessage="0" allowBlank="1" error="请填0–100%的比例，例如 75%。" type="decimal" operator="between">
      <formula1>0</formula1>
      <formula2>1</formula2>
    </dataValidation>
    <dataValidation sqref="E4:E31" showDropDown="0" showInputMessage="0" showErrorMessage="0" allowBlank="1" error="请填0–100%的比例，例如 75%。" type="decimal" operator="between">
      <formula1>0</formula1>
      <formula2>1</formula2>
    </dataValidation>
    <dataValidation sqref="G4:G31" showDropDown="0" showInputMessage="0" showErrorMessage="0" allowBlank="1" error="请填0–100%的比例，例如 75%。" type="decimal" operator="between">
      <formula1>0</formula1>
      <formula2>1</formula2>
    </dataValidation>
    <dataValidation sqref="L4:L31" showDropDown="0" showInputMessage="0" showErrorMessage="0" allowBlank="0" type="list">
      <formula1>"未开始,已完成,缩短版,顺延"</formula1>
    </dataValidation>
  </dataValidations>
  <pageMargins left="0.25" right="0.25" top="0.45" bottom="0.45" header="0.5" footer="0.5"/>
  <pageSetup orientation="landscape" paperSize="9" fitToHeight="0" fitToWidth="1"/>
  <headerFooter>
    <oddHeader/>
    <oddFooter>&amp;C&amp;8 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44760"/>
    <outlinePr summaryBelow="1" summaryRight="1"/>
    <pageSetUpPr fitToPage="1"/>
  </sheetPr>
  <dimension ref="A1:K103"/>
  <sheetViews>
    <sheetView showGridLines="0" zoomScale="80" workbookViewId="0">
      <pane xSplit="4" ySplit="3" topLeftCell="E4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8" customWidth="1" min="4" max="4"/>
    <col width="32" customWidth="1" min="5" max="5"/>
    <col width="33" customWidth="1" min="6" max="6"/>
    <col width="28" customWidth="1" min="7" max="7"/>
    <col width="13" customWidth="1" min="8" max="8"/>
    <col width="13" customWidth="1" min="9" max="9"/>
    <col width="13" customWidth="1" min="10" max="10"/>
    <col width="14" customWidth="1" min="11" max="11"/>
  </cols>
  <sheetData>
    <row r="1" ht="38" customHeight="1">
      <c r="A1" s="1" t="inlineStr">
        <is>
          <t>错题复习表</t>
        </is>
      </c>
    </row>
    <row r="2" ht="32" customHeight="1">
      <c r="A2" s="2" t="inlineStr">
        <is>
          <t>一个错题写一行；D+1、D+3、D+7时先遮住答案重做，能讲清证据才打勾。</t>
        </is>
      </c>
    </row>
    <row r="3" ht="32" customHeight="1">
      <c r="A3" s="3" t="inlineStr">
        <is>
          <t>首次日期</t>
        </is>
      </c>
      <c r="B3" s="3" t="inlineStr">
        <is>
          <t>模块</t>
        </is>
      </c>
      <c r="C3" s="3" t="inlineStr">
        <is>
          <t>题号/材料位置</t>
        </is>
      </c>
      <c r="D3" s="3" t="inlineStr">
        <is>
          <t>主要错误类型</t>
        </is>
      </c>
      <c r="E3" s="3" t="inlineStr">
        <is>
          <t>当时为什么这样选 / 没听出</t>
        </is>
      </c>
      <c r="F3" s="3" t="inlineStr">
        <is>
          <t>正确证据或知识点</t>
        </is>
      </c>
      <c r="G3" s="3" t="inlineStr">
        <is>
          <t>下次采取的动作</t>
        </is>
      </c>
      <c r="H3" s="3" t="inlineStr">
        <is>
          <t>D+1日期</t>
        </is>
      </c>
      <c r="I3" s="3" t="inlineStr">
        <is>
          <t>D+3日期</t>
        </is>
      </c>
      <c r="J3" s="3" t="inlineStr">
        <is>
          <t>D+7日期</t>
        </is>
      </c>
      <c r="K3" s="3" t="inlineStr">
        <is>
          <t>复做/掌握情况</t>
        </is>
      </c>
    </row>
    <row r="4" ht="34" customHeight="1">
      <c r="A4" s="13" t="n"/>
      <c r="B4" s="10" t="n"/>
      <c r="C4" s="10" t="n"/>
      <c r="D4" s="10" t="n"/>
      <c r="E4" s="10" t="n"/>
      <c r="F4" s="10" t="n"/>
      <c r="G4" s="10" t="n"/>
      <c r="H4" s="13">
        <f>IF(A4="","",A4+1)</f>
        <v/>
      </c>
      <c r="I4" s="13">
        <f>IF(A4="","",A4+3)</f>
        <v/>
      </c>
      <c r="J4" s="13">
        <f>IF(A4="","",A4+7)</f>
        <v/>
      </c>
      <c r="K4" s="10" t="n"/>
    </row>
    <row r="5" ht="34" customHeight="1">
      <c r="A5" s="11" t="n"/>
      <c r="B5" s="7" t="n"/>
      <c r="C5" s="7" t="n"/>
      <c r="D5" s="7" t="n"/>
      <c r="E5" s="7" t="n"/>
      <c r="F5" s="7" t="n"/>
      <c r="G5" s="7" t="n"/>
      <c r="H5" s="11">
        <f>IF(A5="","",A5+1)</f>
        <v/>
      </c>
      <c r="I5" s="11">
        <f>IF(A5="","",A5+3)</f>
        <v/>
      </c>
      <c r="J5" s="11">
        <f>IF(A5="","",A5+7)</f>
        <v/>
      </c>
      <c r="K5" s="7" t="n"/>
    </row>
    <row r="6" ht="34" customHeight="1">
      <c r="A6" s="13" t="n"/>
      <c r="B6" s="10" t="n"/>
      <c r="C6" s="10" t="n"/>
      <c r="D6" s="10" t="n"/>
      <c r="E6" s="10" t="n"/>
      <c r="F6" s="10" t="n"/>
      <c r="G6" s="10" t="n"/>
      <c r="H6" s="13">
        <f>IF(A6="","",A6+1)</f>
        <v/>
      </c>
      <c r="I6" s="13">
        <f>IF(A6="","",A6+3)</f>
        <v/>
      </c>
      <c r="J6" s="13">
        <f>IF(A6="","",A6+7)</f>
        <v/>
      </c>
      <c r="K6" s="10" t="n"/>
    </row>
    <row r="7" ht="34" customHeight="1">
      <c r="A7" s="11" t="n"/>
      <c r="B7" s="7" t="n"/>
      <c r="C7" s="7" t="n"/>
      <c r="D7" s="7" t="n"/>
      <c r="E7" s="7" t="n"/>
      <c r="F7" s="7" t="n"/>
      <c r="G7" s="7" t="n"/>
      <c r="H7" s="11">
        <f>IF(A7="","",A7+1)</f>
        <v/>
      </c>
      <c r="I7" s="11">
        <f>IF(A7="","",A7+3)</f>
        <v/>
      </c>
      <c r="J7" s="11">
        <f>IF(A7="","",A7+7)</f>
        <v/>
      </c>
      <c r="K7" s="7" t="n"/>
    </row>
    <row r="8" ht="34" customHeight="1">
      <c r="A8" s="13" t="n"/>
      <c r="B8" s="10" t="n"/>
      <c r="C8" s="10" t="n"/>
      <c r="D8" s="10" t="n"/>
      <c r="E8" s="10" t="n"/>
      <c r="F8" s="10" t="n"/>
      <c r="G8" s="10" t="n"/>
      <c r="H8" s="13">
        <f>IF(A8="","",A8+1)</f>
        <v/>
      </c>
      <c r="I8" s="13">
        <f>IF(A8="","",A8+3)</f>
        <v/>
      </c>
      <c r="J8" s="13">
        <f>IF(A8="","",A8+7)</f>
        <v/>
      </c>
      <c r="K8" s="10" t="n"/>
    </row>
    <row r="9" ht="34" customHeight="1">
      <c r="A9" s="11" t="n"/>
      <c r="B9" s="7" t="n"/>
      <c r="C9" s="7" t="n"/>
      <c r="D9" s="7" t="n"/>
      <c r="E9" s="7" t="n"/>
      <c r="F9" s="7" t="n"/>
      <c r="G9" s="7" t="n"/>
      <c r="H9" s="11">
        <f>IF(A9="","",A9+1)</f>
        <v/>
      </c>
      <c r="I9" s="11">
        <f>IF(A9="","",A9+3)</f>
        <v/>
      </c>
      <c r="J9" s="11">
        <f>IF(A9="","",A9+7)</f>
        <v/>
      </c>
      <c r="K9" s="7" t="n"/>
    </row>
    <row r="10" ht="34" customHeight="1">
      <c r="A10" s="13" t="n"/>
      <c r="B10" s="10" t="n"/>
      <c r="C10" s="10" t="n"/>
      <c r="D10" s="10" t="n"/>
      <c r="E10" s="10" t="n"/>
      <c r="F10" s="10" t="n"/>
      <c r="G10" s="10" t="n"/>
      <c r="H10" s="13">
        <f>IF(A10="","",A10+1)</f>
        <v/>
      </c>
      <c r="I10" s="13">
        <f>IF(A10="","",A10+3)</f>
        <v/>
      </c>
      <c r="J10" s="13">
        <f>IF(A10="","",A10+7)</f>
        <v/>
      </c>
      <c r="K10" s="10" t="n"/>
    </row>
    <row r="11" ht="34" customHeight="1">
      <c r="A11" s="11" t="n"/>
      <c r="B11" s="7" t="n"/>
      <c r="C11" s="7" t="n"/>
      <c r="D11" s="7" t="n"/>
      <c r="E11" s="7" t="n"/>
      <c r="F11" s="7" t="n"/>
      <c r="G11" s="7" t="n"/>
      <c r="H11" s="11">
        <f>IF(A11="","",A11+1)</f>
        <v/>
      </c>
      <c r="I11" s="11">
        <f>IF(A11="","",A11+3)</f>
        <v/>
      </c>
      <c r="J11" s="11">
        <f>IF(A11="","",A11+7)</f>
        <v/>
      </c>
      <c r="K11" s="7" t="n"/>
    </row>
    <row r="12" ht="34" customHeight="1">
      <c r="A12" s="13" t="n"/>
      <c r="B12" s="10" t="n"/>
      <c r="C12" s="10" t="n"/>
      <c r="D12" s="10" t="n"/>
      <c r="E12" s="10" t="n"/>
      <c r="F12" s="10" t="n"/>
      <c r="G12" s="10" t="n"/>
      <c r="H12" s="13">
        <f>IF(A12="","",A12+1)</f>
        <v/>
      </c>
      <c r="I12" s="13">
        <f>IF(A12="","",A12+3)</f>
        <v/>
      </c>
      <c r="J12" s="13">
        <f>IF(A12="","",A12+7)</f>
        <v/>
      </c>
      <c r="K12" s="10" t="n"/>
    </row>
    <row r="13" ht="34" customHeight="1">
      <c r="A13" s="11" t="n"/>
      <c r="B13" s="7" t="n"/>
      <c r="C13" s="7" t="n"/>
      <c r="D13" s="7" t="n"/>
      <c r="E13" s="7" t="n"/>
      <c r="F13" s="7" t="n"/>
      <c r="G13" s="7" t="n"/>
      <c r="H13" s="11">
        <f>IF(A13="","",A13+1)</f>
        <v/>
      </c>
      <c r="I13" s="11">
        <f>IF(A13="","",A13+3)</f>
        <v/>
      </c>
      <c r="J13" s="11">
        <f>IF(A13="","",A13+7)</f>
        <v/>
      </c>
      <c r="K13" s="7" t="n"/>
    </row>
    <row r="14" ht="34" customHeight="1">
      <c r="A14" s="13" t="n"/>
      <c r="B14" s="10" t="n"/>
      <c r="C14" s="10" t="n"/>
      <c r="D14" s="10" t="n"/>
      <c r="E14" s="10" t="n"/>
      <c r="F14" s="10" t="n"/>
      <c r="G14" s="10" t="n"/>
      <c r="H14" s="13">
        <f>IF(A14="","",A14+1)</f>
        <v/>
      </c>
      <c r="I14" s="13">
        <f>IF(A14="","",A14+3)</f>
        <v/>
      </c>
      <c r="J14" s="13">
        <f>IF(A14="","",A14+7)</f>
        <v/>
      </c>
      <c r="K14" s="10" t="n"/>
    </row>
    <row r="15" ht="34" customHeight="1">
      <c r="A15" s="11" t="n"/>
      <c r="B15" s="7" t="n"/>
      <c r="C15" s="7" t="n"/>
      <c r="D15" s="7" t="n"/>
      <c r="E15" s="7" t="n"/>
      <c r="F15" s="7" t="n"/>
      <c r="G15" s="7" t="n"/>
      <c r="H15" s="11">
        <f>IF(A15="","",A15+1)</f>
        <v/>
      </c>
      <c r="I15" s="11">
        <f>IF(A15="","",A15+3)</f>
        <v/>
      </c>
      <c r="J15" s="11">
        <f>IF(A15="","",A15+7)</f>
        <v/>
      </c>
      <c r="K15" s="7" t="n"/>
    </row>
    <row r="16" ht="34" customHeight="1">
      <c r="A16" s="13" t="n"/>
      <c r="B16" s="10" t="n"/>
      <c r="C16" s="10" t="n"/>
      <c r="D16" s="10" t="n"/>
      <c r="E16" s="10" t="n"/>
      <c r="F16" s="10" t="n"/>
      <c r="G16" s="10" t="n"/>
      <c r="H16" s="13">
        <f>IF(A16="","",A16+1)</f>
        <v/>
      </c>
      <c r="I16" s="13">
        <f>IF(A16="","",A16+3)</f>
        <v/>
      </c>
      <c r="J16" s="13">
        <f>IF(A16="","",A16+7)</f>
        <v/>
      </c>
      <c r="K16" s="10" t="n"/>
    </row>
    <row r="17" ht="34" customHeight="1">
      <c r="A17" s="11" t="n"/>
      <c r="B17" s="7" t="n"/>
      <c r="C17" s="7" t="n"/>
      <c r="D17" s="7" t="n"/>
      <c r="E17" s="7" t="n"/>
      <c r="F17" s="7" t="n"/>
      <c r="G17" s="7" t="n"/>
      <c r="H17" s="11">
        <f>IF(A17="","",A17+1)</f>
        <v/>
      </c>
      <c r="I17" s="11">
        <f>IF(A17="","",A17+3)</f>
        <v/>
      </c>
      <c r="J17" s="11">
        <f>IF(A17="","",A17+7)</f>
        <v/>
      </c>
      <c r="K17" s="7" t="n"/>
    </row>
    <row r="18" ht="34" customHeight="1">
      <c r="A18" s="13" t="n"/>
      <c r="B18" s="10" t="n"/>
      <c r="C18" s="10" t="n"/>
      <c r="D18" s="10" t="n"/>
      <c r="E18" s="10" t="n"/>
      <c r="F18" s="10" t="n"/>
      <c r="G18" s="10" t="n"/>
      <c r="H18" s="13">
        <f>IF(A18="","",A18+1)</f>
        <v/>
      </c>
      <c r="I18" s="13">
        <f>IF(A18="","",A18+3)</f>
        <v/>
      </c>
      <c r="J18" s="13">
        <f>IF(A18="","",A18+7)</f>
        <v/>
      </c>
      <c r="K18" s="10" t="n"/>
    </row>
    <row r="19" ht="34" customHeight="1">
      <c r="A19" s="11" t="n"/>
      <c r="B19" s="7" t="n"/>
      <c r="C19" s="7" t="n"/>
      <c r="D19" s="7" t="n"/>
      <c r="E19" s="7" t="n"/>
      <c r="F19" s="7" t="n"/>
      <c r="G19" s="7" t="n"/>
      <c r="H19" s="11">
        <f>IF(A19="","",A19+1)</f>
        <v/>
      </c>
      <c r="I19" s="11">
        <f>IF(A19="","",A19+3)</f>
        <v/>
      </c>
      <c r="J19" s="11">
        <f>IF(A19="","",A19+7)</f>
        <v/>
      </c>
      <c r="K19" s="7" t="n"/>
    </row>
    <row r="20" ht="34" customHeight="1">
      <c r="A20" s="13" t="n"/>
      <c r="B20" s="10" t="n"/>
      <c r="C20" s="10" t="n"/>
      <c r="D20" s="10" t="n"/>
      <c r="E20" s="10" t="n"/>
      <c r="F20" s="10" t="n"/>
      <c r="G20" s="10" t="n"/>
      <c r="H20" s="13">
        <f>IF(A20="","",A20+1)</f>
        <v/>
      </c>
      <c r="I20" s="13">
        <f>IF(A20="","",A20+3)</f>
        <v/>
      </c>
      <c r="J20" s="13">
        <f>IF(A20="","",A20+7)</f>
        <v/>
      </c>
      <c r="K20" s="10" t="n"/>
    </row>
    <row r="21" ht="34" customHeight="1">
      <c r="A21" s="11" t="n"/>
      <c r="B21" s="7" t="n"/>
      <c r="C21" s="7" t="n"/>
      <c r="D21" s="7" t="n"/>
      <c r="E21" s="7" t="n"/>
      <c r="F21" s="7" t="n"/>
      <c r="G21" s="7" t="n"/>
      <c r="H21" s="11">
        <f>IF(A21="","",A21+1)</f>
        <v/>
      </c>
      <c r="I21" s="11">
        <f>IF(A21="","",A21+3)</f>
        <v/>
      </c>
      <c r="J21" s="11">
        <f>IF(A21="","",A21+7)</f>
        <v/>
      </c>
      <c r="K21" s="7" t="n"/>
    </row>
    <row r="22" ht="34" customHeight="1">
      <c r="A22" s="13" t="n"/>
      <c r="B22" s="10" t="n"/>
      <c r="C22" s="10" t="n"/>
      <c r="D22" s="10" t="n"/>
      <c r="E22" s="10" t="n"/>
      <c r="F22" s="10" t="n"/>
      <c r="G22" s="10" t="n"/>
      <c r="H22" s="13">
        <f>IF(A22="","",A22+1)</f>
        <v/>
      </c>
      <c r="I22" s="13">
        <f>IF(A22="","",A22+3)</f>
        <v/>
      </c>
      <c r="J22" s="13">
        <f>IF(A22="","",A22+7)</f>
        <v/>
      </c>
      <c r="K22" s="10" t="n"/>
    </row>
    <row r="23" ht="34" customHeight="1">
      <c r="A23" s="11" t="n"/>
      <c r="B23" s="7" t="n"/>
      <c r="C23" s="7" t="n"/>
      <c r="D23" s="7" t="n"/>
      <c r="E23" s="7" t="n"/>
      <c r="F23" s="7" t="n"/>
      <c r="G23" s="7" t="n"/>
      <c r="H23" s="11">
        <f>IF(A23="","",A23+1)</f>
        <v/>
      </c>
      <c r="I23" s="11">
        <f>IF(A23="","",A23+3)</f>
        <v/>
      </c>
      <c r="J23" s="11">
        <f>IF(A23="","",A23+7)</f>
        <v/>
      </c>
      <c r="K23" s="7" t="n"/>
    </row>
    <row r="24" ht="34" customHeight="1">
      <c r="A24" s="13" t="n"/>
      <c r="B24" s="10" t="n"/>
      <c r="C24" s="10" t="n"/>
      <c r="D24" s="10" t="n"/>
      <c r="E24" s="10" t="n"/>
      <c r="F24" s="10" t="n"/>
      <c r="G24" s="10" t="n"/>
      <c r="H24" s="13">
        <f>IF(A24="","",A24+1)</f>
        <v/>
      </c>
      <c r="I24" s="13">
        <f>IF(A24="","",A24+3)</f>
        <v/>
      </c>
      <c r="J24" s="13">
        <f>IF(A24="","",A24+7)</f>
        <v/>
      </c>
      <c r="K24" s="10" t="n"/>
    </row>
    <row r="25" ht="34" customHeight="1">
      <c r="A25" s="11" t="n"/>
      <c r="B25" s="7" t="n"/>
      <c r="C25" s="7" t="n"/>
      <c r="D25" s="7" t="n"/>
      <c r="E25" s="7" t="n"/>
      <c r="F25" s="7" t="n"/>
      <c r="G25" s="7" t="n"/>
      <c r="H25" s="11">
        <f>IF(A25="","",A25+1)</f>
        <v/>
      </c>
      <c r="I25" s="11">
        <f>IF(A25="","",A25+3)</f>
        <v/>
      </c>
      <c r="J25" s="11">
        <f>IF(A25="","",A25+7)</f>
        <v/>
      </c>
      <c r="K25" s="7" t="n"/>
    </row>
    <row r="26" ht="34" customHeight="1">
      <c r="A26" s="13" t="n"/>
      <c r="B26" s="10" t="n"/>
      <c r="C26" s="10" t="n"/>
      <c r="D26" s="10" t="n"/>
      <c r="E26" s="10" t="n"/>
      <c r="F26" s="10" t="n"/>
      <c r="G26" s="10" t="n"/>
      <c r="H26" s="13">
        <f>IF(A26="","",A26+1)</f>
        <v/>
      </c>
      <c r="I26" s="13">
        <f>IF(A26="","",A26+3)</f>
        <v/>
      </c>
      <c r="J26" s="13">
        <f>IF(A26="","",A26+7)</f>
        <v/>
      </c>
      <c r="K26" s="10" t="n"/>
    </row>
    <row r="27" ht="34" customHeight="1">
      <c r="A27" s="11" t="n"/>
      <c r="B27" s="7" t="n"/>
      <c r="C27" s="7" t="n"/>
      <c r="D27" s="7" t="n"/>
      <c r="E27" s="7" t="n"/>
      <c r="F27" s="7" t="n"/>
      <c r="G27" s="7" t="n"/>
      <c r="H27" s="11">
        <f>IF(A27="","",A27+1)</f>
        <v/>
      </c>
      <c r="I27" s="11">
        <f>IF(A27="","",A27+3)</f>
        <v/>
      </c>
      <c r="J27" s="11">
        <f>IF(A27="","",A27+7)</f>
        <v/>
      </c>
      <c r="K27" s="7" t="n"/>
    </row>
    <row r="28" ht="34" customHeight="1">
      <c r="A28" s="13" t="n"/>
      <c r="B28" s="10" t="n"/>
      <c r="C28" s="10" t="n"/>
      <c r="D28" s="10" t="n"/>
      <c r="E28" s="10" t="n"/>
      <c r="F28" s="10" t="n"/>
      <c r="G28" s="10" t="n"/>
      <c r="H28" s="13">
        <f>IF(A28="","",A28+1)</f>
        <v/>
      </c>
      <c r="I28" s="13">
        <f>IF(A28="","",A28+3)</f>
        <v/>
      </c>
      <c r="J28" s="13">
        <f>IF(A28="","",A28+7)</f>
        <v/>
      </c>
      <c r="K28" s="10" t="n"/>
    </row>
    <row r="29" ht="34" customHeight="1">
      <c r="A29" s="11" t="n"/>
      <c r="B29" s="7" t="n"/>
      <c r="C29" s="7" t="n"/>
      <c r="D29" s="7" t="n"/>
      <c r="E29" s="7" t="n"/>
      <c r="F29" s="7" t="n"/>
      <c r="G29" s="7" t="n"/>
      <c r="H29" s="11">
        <f>IF(A29="","",A29+1)</f>
        <v/>
      </c>
      <c r="I29" s="11">
        <f>IF(A29="","",A29+3)</f>
        <v/>
      </c>
      <c r="J29" s="11">
        <f>IF(A29="","",A29+7)</f>
        <v/>
      </c>
      <c r="K29" s="7" t="n"/>
    </row>
    <row r="30" ht="34" customHeight="1">
      <c r="A30" s="13" t="n"/>
      <c r="B30" s="10" t="n"/>
      <c r="C30" s="10" t="n"/>
      <c r="D30" s="10" t="n"/>
      <c r="E30" s="10" t="n"/>
      <c r="F30" s="10" t="n"/>
      <c r="G30" s="10" t="n"/>
      <c r="H30" s="13">
        <f>IF(A30="","",A30+1)</f>
        <v/>
      </c>
      <c r="I30" s="13">
        <f>IF(A30="","",A30+3)</f>
        <v/>
      </c>
      <c r="J30" s="13">
        <f>IF(A30="","",A30+7)</f>
        <v/>
      </c>
      <c r="K30" s="10" t="n"/>
    </row>
    <row r="31" ht="34" customHeight="1">
      <c r="A31" s="11" t="n"/>
      <c r="B31" s="7" t="n"/>
      <c r="C31" s="7" t="n"/>
      <c r="D31" s="7" t="n"/>
      <c r="E31" s="7" t="n"/>
      <c r="F31" s="7" t="n"/>
      <c r="G31" s="7" t="n"/>
      <c r="H31" s="11">
        <f>IF(A31="","",A31+1)</f>
        <v/>
      </c>
      <c r="I31" s="11">
        <f>IF(A31="","",A31+3)</f>
        <v/>
      </c>
      <c r="J31" s="11">
        <f>IF(A31="","",A31+7)</f>
        <v/>
      </c>
      <c r="K31" s="7" t="n"/>
    </row>
    <row r="32" ht="34" customHeight="1">
      <c r="A32" s="13" t="n"/>
      <c r="B32" s="10" t="n"/>
      <c r="C32" s="10" t="n"/>
      <c r="D32" s="10" t="n"/>
      <c r="E32" s="10" t="n"/>
      <c r="F32" s="10" t="n"/>
      <c r="G32" s="10" t="n"/>
      <c r="H32" s="13">
        <f>IF(A32="","",A32+1)</f>
        <v/>
      </c>
      <c r="I32" s="13">
        <f>IF(A32="","",A32+3)</f>
        <v/>
      </c>
      <c r="J32" s="13">
        <f>IF(A32="","",A32+7)</f>
        <v/>
      </c>
      <c r="K32" s="10" t="n"/>
    </row>
    <row r="33" ht="34" customHeight="1">
      <c r="A33" s="11" t="n"/>
      <c r="B33" s="7" t="n"/>
      <c r="C33" s="7" t="n"/>
      <c r="D33" s="7" t="n"/>
      <c r="E33" s="7" t="n"/>
      <c r="F33" s="7" t="n"/>
      <c r="G33" s="7" t="n"/>
      <c r="H33" s="11">
        <f>IF(A33="","",A33+1)</f>
        <v/>
      </c>
      <c r="I33" s="11">
        <f>IF(A33="","",A33+3)</f>
        <v/>
      </c>
      <c r="J33" s="11">
        <f>IF(A33="","",A33+7)</f>
        <v/>
      </c>
      <c r="K33" s="7" t="n"/>
    </row>
    <row r="34" ht="34" customHeight="1">
      <c r="A34" s="13" t="n"/>
      <c r="B34" s="10" t="n"/>
      <c r="C34" s="10" t="n"/>
      <c r="D34" s="10" t="n"/>
      <c r="E34" s="10" t="n"/>
      <c r="F34" s="10" t="n"/>
      <c r="G34" s="10" t="n"/>
      <c r="H34" s="13">
        <f>IF(A34="","",A34+1)</f>
        <v/>
      </c>
      <c r="I34" s="13">
        <f>IF(A34="","",A34+3)</f>
        <v/>
      </c>
      <c r="J34" s="13">
        <f>IF(A34="","",A34+7)</f>
        <v/>
      </c>
      <c r="K34" s="10" t="n"/>
    </row>
    <row r="35" ht="34" customHeight="1">
      <c r="A35" s="11" t="n"/>
      <c r="B35" s="7" t="n"/>
      <c r="C35" s="7" t="n"/>
      <c r="D35" s="7" t="n"/>
      <c r="E35" s="7" t="n"/>
      <c r="F35" s="7" t="n"/>
      <c r="G35" s="7" t="n"/>
      <c r="H35" s="11">
        <f>IF(A35="","",A35+1)</f>
        <v/>
      </c>
      <c r="I35" s="11">
        <f>IF(A35="","",A35+3)</f>
        <v/>
      </c>
      <c r="J35" s="11">
        <f>IF(A35="","",A35+7)</f>
        <v/>
      </c>
      <c r="K35" s="7" t="n"/>
    </row>
    <row r="36" ht="34" customHeight="1">
      <c r="A36" s="13" t="n"/>
      <c r="B36" s="10" t="n"/>
      <c r="C36" s="10" t="n"/>
      <c r="D36" s="10" t="n"/>
      <c r="E36" s="10" t="n"/>
      <c r="F36" s="10" t="n"/>
      <c r="G36" s="10" t="n"/>
      <c r="H36" s="13">
        <f>IF(A36="","",A36+1)</f>
        <v/>
      </c>
      <c r="I36" s="13">
        <f>IF(A36="","",A36+3)</f>
        <v/>
      </c>
      <c r="J36" s="13">
        <f>IF(A36="","",A36+7)</f>
        <v/>
      </c>
      <c r="K36" s="10" t="n"/>
    </row>
    <row r="37" ht="34" customHeight="1">
      <c r="A37" s="11" t="n"/>
      <c r="B37" s="7" t="n"/>
      <c r="C37" s="7" t="n"/>
      <c r="D37" s="7" t="n"/>
      <c r="E37" s="7" t="n"/>
      <c r="F37" s="7" t="n"/>
      <c r="G37" s="7" t="n"/>
      <c r="H37" s="11">
        <f>IF(A37="","",A37+1)</f>
        <v/>
      </c>
      <c r="I37" s="11">
        <f>IF(A37="","",A37+3)</f>
        <v/>
      </c>
      <c r="J37" s="11">
        <f>IF(A37="","",A37+7)</f>
        <v/>
      </c>
      <c r="K37" s="7" t="n"/>
    </row>
    <row r="38" ht="34" customHeight="1">
      <c r="A38" s="13" t="n"/>
      <c r="B38" s="10" t="n"/>
      <c r="C38" s="10" t="n"/>
      <c r="D38" s="10" t="n"/>
      <c r="E38" s="10" t="n"/>
      <c r="F38" s="10" t="n"/>
      <c r="G38" s="10" t="n"/>
      <c r="H38" s="13">
        <f>IF(A38="","",A38+1)</f>
        <v/>
      </c>
      <c r="I38" s="13">
        <f>IF(A38="","",A38+3)</f>
        <v/>
      </c>
      <c r="J38" s="13">
        <f>IF(A38="","",A38+7)</f>
        <v/>
      </c>
      <c r="K38" s="10" t="n"/>
    </row>
    <row r="39" ht="34" customHeight="1">
      <c r="A39" s="11" t="n"/>
      <c r="B39" s="7" t="n"/>
      <c r="C39" s="7" t="n"/>
      <c r="D39" s="7" t="n"/>
      <c r="E39" s="7" t="n"/>
      <c r="F39" s="7" t="n"/>
      <c r="G39" s="7" t="n"/>
      <c r="H39" s="11">
        <f>IF(A39="","",A39+1)</f>
        <v/>
      </c>
      <c r="I39" s="11">
        <f>IF(A39="","",A39+3)</f>
        <v/>
      </c>
      <c r="J39" s="11">
        <f>IF(A39="","",A39+7)</f>
        <v/>
      </c>
      <c r="K39" s="7" t="n"/>
    </row>
    <row r="40" ht="34" customHeight="1">
      <c r="A40" s="13" t="n"/>
      <c r="B40" s="10" t="n"/>
      <c r="C40" s="10" t="n"/>
      <c r="D40" s="10" t="n"/>
      <c r="E40" s="10" t="n"/>
      <c r="F40" s="10" t="n"/>
      <c r="G40" s="10" t="n"/>
      <c r="H40" s="13">
        <f>IF(A40="","",A40+1)</f>
        <v/>
      </c>
      <c r="I40" s="13">
        <f>IF(A40="","",A40+3)</f>
        <v/>
      </c>
      <c r="J40" s="13">
        <f>IF(A40="","",A40+7)</f>
        <v/>
      </c>
      <c r="K40" s="10" t="n"/>
    </row>
    <row r="41" ht="34" customHeight="1">
      <c r="A41" s="11" t="n"/>
      <c r="B41" s="7" t="n"/>
      <c r="C41" s="7" t="n"/>
      <c r="D41" s="7" t="n"/>
      <c r="E41" s="7" t="n"/>
      <c r="F41" s="7" t="n"/>
      <c r="G41" s="7" t="n"/>
      <c r="H41" s="11">
        <f>IF(A41="","",A41+1)</f>
        <v/>
      </c>
      <c r="I41" s="11">
        <f>IF(A41="","",A41+3)</f>
        <v/>
      </c>
      <c r="J41" s="11">
        <f>IF(A41="","",A41+7)</f>
        <v/>
      </c>
      <c r="K41" s="7" t="n"/>
    </row>
    <row r="42" ht="34" customHeight="1">
      <c r="A42" s="13" t="n"/>
      <c r="B42" s="10" t="n"/>
      <c r="C42" s="10" t="n"/>
      <c r="D42" s="10" t="n"/>
      <c r="E42" s="10" t="n"/>
      <c r="F42" s="10" t="n"/>
      <c r="G42" s="10" t="n"/>
      <c r="H42" s="13">
        <f>IF(A42="","",A42+1)</f>
        <v/>
      </c>
      <c r="I42" s="13">
        <f>IF(A42="","",A42+3)</f>
        <v/>
      </c>
      <c r="J42" s="13">
        <f>IF(A42="","",A42+7)</f>
        <v/>
      </c>
      <c r="K42" s="10" t="n"/>
    </row>
    <row r="43" ht="34" customHeight="1">
      <c r="A43" s="11" t="n"/>
      <c r="B43" s="7" t="n"/>
      <c r="C43" s="7" t="n"/>
      <c r="D43" s="7" t="n"/>
      <c r="E43" s="7" t="n"/>
      <c r="F43" s="7" t="n"/>
      <c r="G43" s="7" t="n"/>
      <c r="H43" s="11">
        <f>IF(A43="","",A43+1)</f>
        <v/>
      </c>
      <c r="I43" s="11">
        <f>IF(A43="","",A43+3)</f>
        <v/>
      </c>
      <c r="J43" s="11">
        <f>IF(A43="","",A43+7)</f>
        <v/>
      </c>
      <c r="K43" s="7" t="n"/>
    </row>
    <row r="44" ht="34" customHeight="1">
      <c r="A44" s="13" t="n"/>
      <c r="B44" s="10" t="n"/>
      <c r="C44" s="10" t="n"/>
      <c r="D44" s="10" t="n"/>
      <c r="E44" s="10" t="n"/>
      <c r="F44" s="10" t="n"/>
      <c r="G44" s="10" t="n"/>
      <c r="H44" s="13">
        <f>IF(A44="","",A44+1)</f>
        <v/>
      </c>
      <c r="I44" s="13">
        <f>IF(A44="","",A44+3)</f>
        <v/>
      </c>
      <c r="J44" s="13">
        <f>IF(A44="","",A44+7)</f>
        <v/>
      </c>
      <c r="K44" s="10" t="n"/>
    </row>
    <row r="45" ht="34" customHeight="1">
      <c r="A45" s="11" t="n"/>
      <c r="B45" s="7" t="n"/>
      <c r="C45" s="7" t="n"/>
      <c r="D45" s="7" t="n"/>
      <c r="E45" s="7" t="n"/>
      <c r="F45" s="7" t="n"/>
      <c r="G45" s="7" t="n"/>
      <c r="H45" s="11">
        <f>IF(A45="","",A45+1)</f>
        <v/>
      </c>
      <c r="I45" s="11">
        <f>IF(A45="","",A45+3)</f>
        <v/>
      </c>
      <c r="J45" s="11">
        <f>IF(A45="","",A45+7)</f>
        <v/>
      </c>
      <c r="K45" s="7" t="n"/>
    </row>
    <row r="46" ht="34" customHeight="1">
      <c r="A46" s="13" t="n"/>
      <c r="B46" s="10" t="n"/>
      <c r="C46" s="10" t="n"/>
      <c r="D46" s="10" t="n"/>
      <c r="E46" s="10" t="n"/>
      <c r="F46" s="10" t="n"/>
      <c r="G46" s="10" t="n"/>
      <c r="H46" s="13">
        <f>IF(A46="","",A46+1)</f>
        <v/>
      </c>
      <c r="I46" s="13">
        <f>IF(A46="","",A46+3)</f>
        <v/>
      </c>
      <c r="J46" s="13">
        <f>IF(A46="","",A46+7)</f>
        <v/>
      </c>
      <c r="K46" s="10" t="n"/>
    </row>
    <row r="47" ht="34" customHeight="1">
      <c r="A47" s="11" t="n"/>
      <c r="B47" s="7" t="n"/>
      <c r="C47" s="7" t="n"/>
      <c r="D47" s="7" t="n"/>
      <c r="E47" s="7" t="n"/>
      <c r="F47" s="7" t="n"/>
      <c r="G47" s="7" t="n"/>
      <c r="H47" s="11">
        <f>IF(A47="","",A47+1)</f>
        <v/>
      </c>
      <c r="I47" s="11">
        <f>IF(A47="","",A47+3)</f>
        <v/>
      </c>
      <c r="J47" s="11">
        <f>IF(A47="","",A47+7)</f>
        <v/>
      </c>
      <c r="K47" s="7" t="n"/>
    </row>
    <row r="48" ht="34" customHeight="1">
      <c r="A48" s="13" t="n"/>
      <c r="B48" s="10" t="n"/>
      <c r="C48" s="10" t="n"/>
      <c r="D48" s="10" t="n"/>
      <c r="E48" s="10" t="n"/>
      <c r="F48" s="10" t="n"/>
      <c r="G48" s="10" t="n"/>
      <c r="H48" s="13">
        <f>IF(A48="","",A48+1)</f>
        <v/>
      </c>
      <c r="I48" s="13">
        <f>IF(A48="","",A48+3)</f>
        <v/>
      </c>
      <c r="J48" s="13">
        <f>IF(A48="","",A48+7)</f>
        <v/>
      </c>
      <c r="K48" s="10" t="n"/>
    </row>
    <row r="49" ht="34" customHeight="1">
      <c r="A49" s="11" t="n"/>
      <c r="B49" s="7" t="n"/>
      <c r="C49" s="7" t="n"/>
      <c r="D49" s="7" t="n"/>
      <c r="E49" s="7" t="n"/>
      <c r="F49" s="7" t="n"/>
      <c r="G49" s="7" t="n"/>
      <c r="H49" s="11">
        <f>IF(A49="","",A49+1)</f>
        <v/>
      </c>
      <c r="I49" s="11">
        <f>IF(A49="","",A49+3)</f>
        <v/>
      </c>
      <c r="J49" s="11">
        <f>IF(A49="","",A49+7)</f>
        <v/>
      </c>
      <c r="K49" s="7" t="n"/>
    </row>
    <row r="50" ht="34" customHeight="1">
      <c r="A50" s="13" t="n"/>
      <c r="B50" s="10" t="n"/>
      <c r="C50" s="10" t="n"/>
      <c r="D50" s="10" t="n"/>
      <c r="E50" s="10" t="n"/>
      <c r="F50" s="10" t="n"/>
      <c r="G50" s="10" t="n"/>
      <c r="H50" s="13">
        <f>IF(A50="","",A50+1)</f>
        <v/>
      </c>
      <c r="I50" s="13">
        <f>IF(A50="","",A50+3)</f>
        <v/>
      </c>
      <c r="J50" s="13">
        <f>IF(A50="","",A50+7)</f>
        <v/>
      </c>
      <c r="K50" s="10" t="n"/>
    </row>
    <row r="51" ht="34" customHeight="1">
      <c r="A51" s="11" t="n"/>
      <c r="B51" s="7" t="n"/>
      <c r="C51" s="7" t="n"/>
      <c r="D51" s="7" t="n"/>
      <c r="E51" s="7" t="n"/>
      <c r="F51" s="7" t="n"/>
      <c r="G51" s="7" t="n"/>
      <c r="H51" s="11">
        <f>IF(A51="","",A51+1)</f>
        <v/>
      </c>
      <c r="I51" s="11">
        <f>IF(A51="","",A51+3)</f>
        <v/>
      </c>
      <c r="J51" s="11">
        <f>IF(A51="","",A51+7)</f>
        <v/>
      </c>
      <c r="K51" s="7" t="n"/>
    </row>
    <row r="52" ht="34" customHeight="1">
      <c r="A52" s="13" t="n"/>
      <c r="B52" s="10" t="n"/>
      <c r="C52" s="10" t="n"/>
      <c r="D52" s="10" t="n"/>
      <c r="E52" s="10" t="n"/>
      <c r="F52" s="10" t="n"/>
      <c r="G52" s="10" t="n"/>
      <c r="H52" s="13">
        <f>IF(A52="","",A52+1)</f>
        <v/>
      </c>
      <c r="I52" s="13">
        <f>IF(A52="","",A52+3)</f>
        <v/>
      </c>
      <c r="J52" s="13">
        <f>IF(A52="","",A52+7)</f>
        <v/>
      </c>
      <c r="K52" s="10" t="n"/>
    </row>
    <row r="53" ht="34" customHeight="1">
      <c r="A53" s="11" t="n"/>
      <c r="B53" s="7" t="n"/>
      <c r="C53" s="7" t="n"/>
      <c r="D53" s="7" t="n"/>
      <c r="E53" s="7" t="n"/>
      <c r="F53" s="7" t="n"/>
      <c r="G53" s="7" t="n"/>
      <c r="H53" s="11">
        <f>IF(A53="","",A53+1)</f>
        <v/>
      </c>
      <c r="I53" s="11">
        <f>IF(A53="","",A53+3)</f>
        <v/>
      </c>
      <c r="J53" s="11">
        <f>IF(A53="","",A53+7)</f>
        <v/>
      </c>
      <c r="K53" s="7" t="n"/>
    </row>
    <row r="54" ht="34" customHeight="1">
      <c r="A54" s="13" t="n"/>
      <c r="B54" s="10" t="n"/>
      <c r="C54" s="10" t="n"/>
      <c r="D54" s="10" t="n"/>
      <c r="E54" s="10" t="n"/>
      <c r="F54" s="10" t="n"/>
      <c r="G54" s="10" t="n"/>
      <c r="H54" s="13">
        <f>IF(A54="","",A54+1)</f>
        <v/>
      </c>
      <c r="I54" s="13">
        <f>IF(A54="","",A54+3)</f>
        <v/>
      </c>
      <c r="J54" s="13">
        <f>IF(A54="","",A54+7)</f>
        <v/>
      </c>
      <c r="K54" s="10" t="n"/>
    </row>
    <row r="55" ht="34" customHeight="1">
      <c r="A55" s="11" t="n"/>
      <c r="B55" s="7" t="n"/>
      <c r="C55" s="7" t="n"/>
      <c r="D55" s="7" t="n"/>
      <c r="E55" s="7" t="n"/>
      <c r="F55" s="7" t="n"/>
      <c r="G55" s="7" t="n"/>
      <c r="H55" s="11">
        <f>IF(A55="","",A55+1)</f>
        <v/>
      </c>
      <c r="I55" s="11">
        <f>IF(A55="","",A55+3)</f>
        <v/>
      </c>
      <c r="J55" s="11">
        <f>IF(A55="","",A55+7)</f>
        <v/>
      </c>
      <c r="K55" s="7" t="n"/>
    </row>
    <row r="56" ht="34" customHeight="1">
      <c r="A56" s="13" t="n"/>
      <c r="B56" s="10" t="n"/>
      <c r="C56" s="10" t="n"/>
      <c r="D56" s="10" t="n"/>
      <c r="E56" s="10" t="n"/>
      <c r="F56" s="10" t="n"/>
      <c r="G56" s="10" t="n"/>
      <c r="H56" s="13">
        <f>IF(A56="","",A56+1)</f>
        <v/>
      </c>
      <c r="I56" s="13">
        <f>IF(A56="","",A56+3)</f>
        <v/>
      </c>
      <c r="J56" s="13">
        <f>IF(A56="","",A56+7)</f>
        <v/>
      </c>
      <c r="K56" s="10" t="n"/>
    </row>
    <row r="57" ht="34" customHeight="1">
      <c r="A57" s="11" t="n"/>
      <c r="B57" s="7" t="n"/>
      <c r="C57" s="7" t="n"/>
      <c r="D57" s="7" t="n"/>
      <c r="E57" s="7" t="n"/>
      <c r="F57" s="7" t="n"/>
      <c r="G57" s="7" t="n"/>
      <c r="H57" s="11">
        <f>IF(A57="","",A57+1)</f>
        <v/>
      </c>
      <c r="I57" s="11">
        <f>IF(A57="","",A57+3)</f>
        <v/>
      </c>
      <c r="J57" s="11">
        <f>IF(A57="","",A57+7)</f>
        <v/>
      </c>
      <c r="K57" s="7" t="n"/>
    </row>
    <row r="58" ht="34" customHeight="1">
      <c r="A58" s="13" t="n"/>
      <c r="B58" s="10" t="n"/>
      <c r="C58" s="10" t="n"/>
      <c r="D58" s="10" t="n"/>
      <c r="E58" s="10" t="n"/>
      <c r="F58" s="10" t="n"/>
      <c r="G58" s="10" t="n"/>
      <c r="H58" s="13">
        <f>IF(A58="","",A58+1)</f>
        <v/>
      </c>
      <c r="I58" s="13">
        <f>IF(A58="","",A58+3)</f>
        <v/>
      </c>
      <c r="J58" s="13">
        <f>IF(A58="","",A58+7)</f>
        <v/>
      </c>
      <c r="K58" s="10" t="n"/>
    </row>
    <row r="59" ht="34" customHeight="1">
      <c r="A59" s="11" t="n"/>
      <c r="B59" s="7" t="n"/>
      <c r="C59" s="7" t="n"/>
      <c r="D59" s="7" t="n"/>
      <c r="E59" s="7" t="n"/>
      <c r="F59" s="7" t="n"/>
      <c r="G59" s="7" t="n"/>
      <c r="H59" s="11">
        <f>IF(A59="","",A59+1)</f>
        <v/>
      </c>
      <c r="I59" s="11">
        <f>IF(A59="","",A59+3)</f>
        <v/>
      </c>
      <c r="J59" s="11">
        <f>IF(A59="","",A59+7)</f>
        <v/>
      </c>
      <c r="K59" s="7" t="n"/>
    </row>
    <row r="60" ht="34" customHeight="1">
      <c r="A60" s="13" t="n"/>
      <c r="B60" s="10" t="n"/>
      <c r="C60" s="10" t="n"/>
      <c r="D60" s="10" t="n"/>
      <c r="E60" s="10" t="n"/>
      <c r="F60" s="10" t="n"/>
      <c r="G60" s="10" t="n"/>
      <c r="H60" s="13">
        <f>IF(A60="","",A60+1)</f>
        <v/>
      </c>
      <c r="I60" s="13">
        <f>IF(A60="","",A60+3)</f>
        <v/>
      </c>
      <c r="J60" s="13">
        <f>IF(A60="","",A60+7)</f>
        <v/>
      </c>
      <c r="K60" s="10" t="n"/>
    </row>
    <row r="61" ht="34" customHeight="1">
      <c r="A61" s="11" t="n"/>
      <c r="B61" s="7" t="n"/>
      <c r="C61" s="7" t="n"/>
      <c r="D61" s="7" t="n"/>
      <c r="E61" s="7" t="n"/>
      <c r="F61" s="7" t="n"/>
      <c r="G61" s="7" t="n"/>
      <c r="H61" s="11">
        <f>IF(A61="","",A61+1)</f>
        <v/>
      </c>
      <c r="I61" s="11">
        <f>IF(A61="","",A61+3)</f>
        <v/>
      </c>
      <c r="J61" s="11">
        <f>IF(A61="","",A61+7)</f>
        <v/>
      </c>
      <c r="K61" s="7" t="n"/>
    </row>
    <row r="62" ht="34" customHeight="1">
      <c r="A62" s="13" t="n"/>
      <c r="B62" s="10" t="n"/>
      <c r="C62" s="10" t="n"/>
      <c r="D62" s="10" t="n"/>
      <c r="E62" s="10" t="n"/>
      <c r="F62" s="10" t="n"/>
      <c r="G62" s="10" t="n"/>
      <c r="H62" s="13">
        <f>IF(A62="","",A62+1)</f>
        <v/>
      </c>
      <c r="I62" s="13">
        <f>IF(A62="","",A62+3)</f>
        <v/>
      </c>
      <c r="J62" s="13">
        <f>IF(A62="","",A62+7)</f>
        <v/>
      </c>
      <c r="K62" s="10" t="n"/>
    </row>
    <row r="63" ht="34" customHeight="1">
      <c r="A63" s="11" t="n"/>
      <c r="B63" s="7" t="n"/>
      <c r="C63" s="7" t="n"/>
      <c r="D63" s="7" t="n"/>
      <c r="E63" s="7" t="n"/>
      <c r="F63" s="7" t="n"/>
      <c r="G63" s="7" t="n"/>
      <c r="H63" s="11">
        <f>IF(A63="","",A63+1)</f>
        <v/>
      </c>
      <c r="I63" s="11">
        <f>IF(A63="","",A63+3)</f>
        <v/>
      </c>
      <c r="J63" s="11">
        <f>IF(A63="","",A63+7)</f>
        <v/>
      </c>
      <c r="K63" s="7" t="n"/>
    </row>
    <row r="64" ht="34" customHeight="1">
      <c r="A64" s="13" t="n"/>
      <c r="B64" s="10" t="n"/>
      <c r="C64" s="10" t="n"/>
      <c r="D64" s="10" t="n"/>
      <c r="E64" s="10" t="n"/>
      <c r="F64" s="10" t="n"/>
      <c r="G64" s="10" t="n"/>
      <c r="H64" s="13">
        <f>IF(A64="","",A64+1)</f>
        <v/>
      </c>
      <c r="I64" s="13">
        <f>IF(A64="","",A64+3)</f>
        <v/>
      </c>
      <c r="J64" s="13">
        <f>IF(A64="","",A64+7)</f>
        <v/>
      </c>
      <c r="K64" s="10" t="n"/>
    </row>
    <row r="65" ht="34" customHeight="1">
      <c r="A65" s="11" t="n"/>
      <c r="B65" s="7" t="n"/>
      <c r="C65" s="7" t="n"/>
      <c r="D65" s="7" t="n"/>
      <c r="E65" s="7" t="n"/>
      <c r="F65" s="7" t="n"/>
      <c r="G65" s="7" t="n"/>
      <c r="H65" s="11">
        <f>IF(A65="","",A65+1)</f>
        <v/>
      </c>
      <c r="I65" s="11">
        <f>IF(A65="","",A65+3)</f>
        <v/>
      </c>
      <c r="J65" s="11">
        <f>IF(A65="","",A65+7)</f>
        <v/>
      </c>
      <c r="K65" s="7" t="n"/>
    </row>
    <row r="66" ht="34" customHeight="1">
      <c r="A66" s="13" t="n"/>
      <c r="B66" s="10" t="n"/>
      <c r="C66" s="10" t="n"/>
      <c r="D66" s="10" t="n"/>
      <c r="E66" s="10" t="n"/>
      <c r="F66" s="10" t="n"/>
      <c r="G66" s="10" t="n"/>
      <c r="H66" s="13">
        <f>IF(A66="","",A66+1)</f>
        <v/>
      </c>
      <c r="I66" s="13">
        <f>IF(A66="","",A66+3)</f>
        <v/>
      </c>
      <c r="J66" s="13">
        <f>IF(A66="","",A66+7)</f>
        <v/>
      </c>
      <c r="K66" s="10" t="n"/>
    </row>
    <row r="67" ht="34" customHeight="1">
      <c r="A67" s="11" t="n"/>
      <c r="B67" s="7" t="n"/>
      <c r="C67" s="7" t="n"/>
      <c r="D67" s="7" t="n"/>
      <c r="E67" s="7" t="n"/>
      <c r="F67" s="7" t="n"/>
      <c r="G67" s="7" t="n"/>
      <c r="H67" s="11">
        <f>IF(A67="","",A67+1)</f>
        <v/>
      </c>
      <c r="I67" s="11">
        <f>IF(A67="","",A67+3)</f>
        <v/>
      </c>
      <c r="J67" s="11">
        <f>IF(A67="","",A67+7)</f>
        <v/>
      </c>
      <c r="K67" s="7" t="n"/>
    </row>
    <row r="68" ht="34" customHeight="1">
      <c r="A68" s="13" t="n"/>
      <c r="B68" s="10" t="n"/>
      <c r="C68" s="10" t="n"/>
      <c r="D68" s="10" t="n"/>
      <c r="E68" s="10" t="n"/>
      <c r="F68" s="10" t="n"/>
      <c r="G68" s="10" t="n"/>
      <c r="H68" s="13">
        <f>IF(A68="","",A68+1)</f>
        <v/>
      </c>
      <c r="I68" s="13">
        <f>IF(A68="","",A68+3)</f>
        <v/>
      </c>
      <c r="J68" s="13">
        <f>IF(A68="","",A68+7)</f>
        <v/>
      </c>
      <c r="K68" s="10" t="n"/>
    </row>
    <row r="69" ht="34" customHeight="1">
      <c r="A69" s="11" t="n"/>
      <c r="B69" s="7" t="n"/>
      <c r="C69" s="7" t="n"/>
      <c r="D69" s="7" t="n"/>
      <c r="E69" s="7" t="n"/>
      <c r="F69" s="7" t="n"/>
      <c r="G69" s="7" t="n"/>
      <c r="H69" s="11">
        <f>IF(A69="","",A69+1)</f>
        <v/>
      </c>
      <c r="I69" s="11">
        <f>IF(A69="","",A69+3)</f>
        <v/>
      </c>
      <c r="J69" s="11">
        <f>IF(A69="","",A69+7)</f>
        <v/>
      </c>
      <c r="K69" s="7" t="n"/>
    </row>
    <row r="70" ht="34" customHeight="1">
      <c r="A70" s="13" t="n"/>
      <c r="B70" s="10" t="n"/>
      <c r="C70" s="10" t="n"/>
      <c r="D70" s="10" t="n"/>
      <c r="E70" s="10" t="n"/>
      <c r="F70" s="10" t="n"/>
      <c r="G70" s="10" t="n"/>
      <c r="H70" s="13">
        <f>IF(A70="","",A70+1)</f>
        <v/>
      </c>
      <c r="I70" s="13">
        <f>IF(A70="","",A70+3)</f>
        <v/>
      </c>
      <c r="J70" s="13">
        <f>IF(A70="","",A70+7)</f>
        <v/>
      </c>
      <c r="K70" s="10" t="n"/>
    </row>
    <row r="71" ht="34" customHeight="1">
      <c r="A71" s="11" t="n"/>
      <c r="B71" s="7" t="n"/>
      <c r="C71" s="7" t="n"/>
      <c r="D71" s="7" t="n"/>
      <c r="E71" s="7" t="n"/>
      <c r="F71" s="7" t="n"/>
      <c r="G71" s="7" t="n"/>
      <c r="H71" s="11">
        <f>IF(A71="","",A71+1)</f>
        <v/>
      </c>
      <c r="I71" s="11">
        <f>IF(A71="","",A71+3)</f>
        <v/>
      </c>
      <c r="J71" s="11">
        <f>IF(A71="","",A71+7)</f>
        <v/>
      </c>
      <c r="K71" s="7" t="n"/>
    </row>
    <row r="72" ht="34" customHeight="1">
      <c r="A72" s="13" t="n"/>
      <c r="B72" s="10" t="n"/>
      <c r="C72" s="10" t="n"/>
      <c r="D72" s="10" t="n"/>
      <c r="E72" s="10" t="n"/>
      <c r="F72" s="10" t="n"/>
      <c r="G72" s="10" t="n"/>
      <c r="H72" s="13">
        <f>IF(A72="","",A72+1)</f>
        <v/>
      </c>
      <c r="I72" s="13">
        <f>IF(A72="","",A72+3)</f>
        <v/>
      </c>
      <c r="J72" s="13">
        <f>IF(A72="","",A72+7)</f>
        <v/>
      </c>
      <c r="K72" s="10" t="n"/>
    </row>
    <row r="73" ht="34" customHeight="1">
      <c r="A73" s="11" t="n"/>
      <c r="B73" s="7" t="n"/>
      <c r="C73" s="7" t="n"/>
      <c r="D73" s="7" t="n"/>
      <c r="E73" s="7" t="n"/>
      <c r="F73" s="7" t="n"/>
      <c r="G73" s="7" t="n"/>
      <c r="H73" s="11">
        <f>IF(A73="","",A73+1)</f>
        <v/>
      </c>
      <c r="I73" s="11">
        <f>IF(A73="","",A73+3)</f>
        <v/>
      </c>
      <c r="J73" s="11">
        <f>IF(A73="","",A73+7)</f>
        <v/>
      </c>
      <c r="K73" s="7" t="n"/>
    </row>
    <row r="74" ht="34" customHeight="1">
      <c r="A74" s="13" t="n"/>
      <c r="B74" s="10" t="n"/>
      <c r="C74" s="10" t="n"/>
      <c r="D74" s="10" t="n"/>
      <c r="E74" s="10" t="n"/>
      <c r="F74" s="10" t="n"/>
      <c r="G74" s="10" t="n"/>
      <c r="H74" s="13">
        <f>IF(A74="","",A74+1)</f>
        <v/>
      </c>
      <c r="I74" s="13">
        <f>IF(A74="","",A74+3)</f>
        <v/>
      </c>
      <c r="J74" s="13">
        <f>IF(A74="","",A74+7)</f>
        <v/>
      </c>
      <c r="K74" s="10" t="n"/>
    </row>
    <row r="75" ht="34" customHeight="1">
      <c r="A75" s="11" t="n"/>
      <c r="B75" s="7" t="n"/>
      <c r="C75" s="7" t="n"/>
      <c r="D75" s="7" t="n"/>
      <c r="E75" s="7" t="n"/>
      <c r="F75" s="7" t="n"/>
      <c r="G75" s="7" t="n"/>
      <c r="H75" s="11">
        <f>IF(A75="","",A75+1)</f>
        <v/>
      </c>
      <c r="I75" s="11">
        <f>IF(A75="","",A75+3)</f>
        <v/>
      </c>
      <c r="J75" s="11">
        <f>IF(A75="","",A75+7)</f>
        <v/>
      </c>
      <c r="K75" s="7" t="n"/>
    </row>
    <row r="76" ht="34" customHeight="1">
      <c r="A76" s="13" t="n"/>
      <c r="B76" s="10" t="n"/>
      <c r="C76" s="10" t="n"/>
      <c r="D76" s="10" t="n"/>
      <c r="E76" s="10" t="n"/>
      <c r="F76" s="10" t="n"/>
      <c r="G76" s="10" t="n"/>
      <c r="H76" s="13">
        <f>IF(A76="","",A76+1)</f>
        <v/>
      </c>
      <c r="I76" s="13">
        <f>IF(A76="","",A76+3)</f>
        <v/>
      </c>
      <c r="J76" s="13">
        <f>IF(A76="","",A76+7)</f>
        <v/>
      </c>
      <c r="K76" s="10" t="n"/>
    </row>
    <row r="77" ht="34" customHeight="1">
      <c r="A77" s="11" t="n"/>
      <c r="B77" s="7" t="n"/>
      <c r="C77" s="7" t="n"/>
      <c r="D77" s="7" t="n"/>
      <c r="E77" s="7" t="n"/>
      <c r="F77" s="7" t="n"/>
      <c r="G77" s="7" t="n"/>
      <c r="H77" s="11">
        <f>IF(A77="","",A77+1)</f>
        <v/>
      </c>
      <c r="I77" s="11">
        <f>IF(A77="","",A77+3)</f>
        <v/>
      </c>
      <c r="J77" s="11">
        <f>IF(A77="","",A77+7)</f>
        <v/>
      </c>
      <c r="K77" s="7" t="n"/>
    </row>
    <row r="78" ht="34" customHeight="1">
      <c r="A78" s="13" t="n"/>
      <c r="B78" s="10" t="n"/>
      <c r="C78" s="10" t="n"/>
      <c r="D78" s="10" t="n"/>
      <c r="E78" s="10" t="n"/>
      <c r="F78" s="10" t="n"/>
      <c r="G78" s="10" t="n"/>
      <c r="H78" s="13">
        <f>IF(A78="","",A78+1)</f>
        <v/>
      </c>
      <c r="I78" s="13">
        <f>IF(A78="","",A78+3)</f>
        <v/>
      </c>
      <c r="J78" s="13">
        <f>IF(A78="","",A78+7)</f>
        <v/>
      </c>
      <c r="K78" s="10" t="n"/>
    </row>
    <row r="79" ht="34" customHeight="1">
      <c r="A79" s="11" t="n"/>
      <c r="B79" s="7" t="n"/>
      <c r="C79" s="7" t="n"/>
      <c r="D79" s="7" t="n"/>
      <c r="E79" s="7" t="n"/>
      <c r="F79" s="7" t="n"/>
      <c r="G79" s="7" t="n"/>
      <c r="H79" s="11">
        <f>IF(A79="","",A79+1)</f>
        <v/>
      </c>
      <c r="I79" s="11">
        <f>IF(A79="","",A79+3)</f>
        <v/>
      </c>
      <c r="J79" s="11">
        <f>IF(A79="","",A79+7)</f>
        <v/>
      </c>
      <c r="K79" s="7" t="n"/>
    </row>
    <row r="80" ht="34" customHeight="1">
      <c r="A80" s="13" t="n"/>
      <c r="B80" s="10" t="n"/>
      <c r="C80" s="10" t="n"/>
      <c r="D80" s="10" t="n"/>
      <c r="E80" s="10" t="n"/>
      <c r="F80" s="10" t="n"/>
      <c r="G80" s="10" t="n"/>
      <c r="H80" s="13">
        <f>IF(A80="","",A80+1)</f>
        <v/>
      </c>
      <c r="I80" s="13">
        <f>IF(A80="","",A80+3)</f>
        <v/>
      </c>
      <c r="J80" s="13">
        <f>IF(A80="","",A80+7)</f>
        <v/>
      </c>
      <c r="K80" s="10" t="n"/>
    </row>
    <row r="81" ht="34" customHeight="1">
      <c r="A81" s="11" t="n"/>
      <c r="B81" s="7" t="n"/>
      <c r="C81" s="7" t="n"/>
      <c r="D81" s="7" t="n"/>
      <c r="E81" s="7" t="n"/>
      <c r="F81" s="7" t="n"/>
      <c r="G81" s="7" t="n"/>
      <c r="H81" s="11">
        <f>IF(A81="","",A81+1)</f>
        <v/>
      </c>
      <c r="I81" s="11">
        <f>IF(A81="","",A81+3)</f>
        <v/>
      </c>
      <c r="J81" s="11">
        <f>IF(A81="","",A81+7)</f>
        <v/>
      </c>
      <c r="K81" s="7" t="n"/>
    </row>
    <row r="82" ht="34" customHeight="1">
      <c r="A82" s="13" t="n"/>
      <c r="B82" s="10" t="n"/>
      <c r="C82" s="10" t="n"/>
      <c r="D82" s="10" t="n"/>
      <c r="E82" s="10" t="n"/>
      <c r="F82" s="10" t="n"/>
      <c r="G82" s="10" t="n"/>
      <c r="H82" s="13">
        <f>IF(A82="","",A82+1)</f>
        <v/>
      </c>
      <c r="I82" s="13">
        <f>IF(A82="","",A82+3)</f>
        <v/>
      </c>
      <c r="J82" s="13">
        <f>IF(A82="","",A82+7)</f>
        <v/>
      </c>
      <c r="K82" s="10" t="n"/>
    </row>
    <row r="83" ht="34" customHeight="1">
      <c r="A83" s="11" t="n"/>
      <c r="B83" s="7" t="n"/>
      <c r="C83" s="7" t="n"/>
      <c r="D83" s="7" t="n"/>
      <c r="E83" s="7" t="n"/>
      <c r="F83" s="7" t="n"/>
      <c r="G83" s="7" t="n"/>
      <c r="H83" s="11">
        <f>IF(A83="","",A83+1)</f>
        <v/>
      </c>
      <c r="I83" s="11">
        <f>IF(A83="","",A83+3)</f>
        <v/>
      </c>
      <c r="J83" s="11">
        <f>IF(A83="","",A83+7)</f>
        <v/>
      </c>
      <c r="K83" s="7" t="n"/>
    </row>
    <row r="84" ht="34" customHeight="1">
      <c r="A84" s="13" t="n"/>
      <c r="B84" s="10" t="n"/>
      <c r="C84" s="10" t="n"/>
      <c r="D84" s="10" t="n"/>
      <c r="E84" s="10" t="n"/>
      <c r="F84" s="10" t="n"/>
      <c r="G84" s="10" t="n"/>
      <c r="H84" s="13">
        <f>IF(A84="","",A84+1)</f>
        <v/>
      </c>
      <c r="I84" s="13">
        <f>IF(A84="","",A84+3)</f>
        <v/>
      </c>
      <c r="J84" s="13">
        <f>IF(A84="","",A84+7)</f>
        <v/>
      </c>
      <c r="K84" s="10" t="n"/>
    </row>
    <row r="85" ht="34" customHeight="1">
      <c r="A85" s="11" t="n"/>
      <c r="B85" s="7" t="n"/>
      <c r="C85" s="7" t="n"/>
      <c r="D85" s="7" t="n"/>
      <c r="E85" s="7" t="n"/>
      <c r="F85" s="7" t="n"/>
      <c r="G85" s="7" t="n"/>
      <c r="H85" s="11">
        <f>IF(A85="","",A85+1)</f>
        <v/>
      </c>
      <c r="I85" s="11">
        <f>IF(A85="","",A85+3)</f>
        <v/>
      </c>
      <c r="J85" s="11">
        <f>IF(A85="","",A85+7)</f>
        <v/>
      </c>
      <c r="K85" s="7" t="n"/>
    </row>
    <row r="86" ht="34" customHeight="1">
      <c r="A86" s="13" t="n"/>
      <c r="B86" s="10" t="n"/>
      <c r="C86" s="10" t="n"/>
      <c r="D86" s="10" t="n"/>
      <c r="E86" s="10" t="n"/>
      <c r="F86" s="10" t="n"/>
      <c r="G86" s="10" t="n"/>
      <c r="H86" s="13">
        <f>IF(A86="","",A86+1)</f>
        <v/>
      </c>
      <c r="I86" s="13">
        <f>IF(A86="","",A86+3)</f>
        <v/>
      </c>
      <c r="J86" s="13">
        <f>IF(A86="","",A86+7)</f>
        <v/>
      </c>
      <c r="K86" s="10" t="n"/>
    </row>
    <row r="87" ht="34" customHeight="1">
      <c r="A87" s="11" t="n"/>
      <c r="B87" s="7" t="n"/>
      <c r="C87" s="7" t="n"/>
      <c r="D87" s="7" t="n"/>
      <c r="E87" s="7" t="n"/>
      <c r="F87" s="7" t="n"/>
      <c r="G87" s="7" t="n"/>
      <c r="H87" s="11">
        <f>IF(A87="","",A87+1)</f>
        <v/>
      </c>
      <c r="I87" s="11">
        <f>IF(A87="","",A87+3)</f>
        <v/>
      </c>
      <c r="J87" s="11">
        <f>IF(A87="","",A87+7)</f>
        <v/>
      </c>
      <c r="K87" s="7" t="n"/>
    </row>
    <row r="88" ht="34" customHeight="1">
      <c r="A88" s="13" t="n"/>
      <c r="B88" s="10" t="n"/>
      <c r="C88" s="10" t="n"/>
      <c r="D88" s="10" t="n"/>
      <c r="E88" s="10" t="n"/>
      <c r="F88" s="10" t="n"/>
      <c r="G88" s="10" t="n"/>
      <c r="H88" s="13">
        <f>IF(A88="","",A88+1)</f>
        <v/>
      </c>
      <c r="I88" s="13">
        <f>IF(A88="","",A88+3)</f>
        <v/>
      </c>
      <c r="J88" s="13">
        <f>IF(A88="","",A88+7)</f>
        <v/>
      </c>
      <c r="K88" s="10" t="n"/>
    </row>
    <row r="89" ht="34" customHeight="1">
      <c r="A89" s="11" t="n"/>
      <c r="B89" s="7" t="n"/>
      <c r="C89" s="7" t="n"/>
      <c r="D89" s="7" t="n"/>
      <c r="E89" s="7" t="n"/>
      <c r="F89" s="7" t="n"/>
      <c r="G89" s="7" t="n"/>
      <c r="H89" s="11">
        <f>IF(A89="","",A89+1)</f>
        <v/>
      </c>
      <c r="I89" s="11">
        <f>IF(A89="","",A89+3)</f>
        <v/>
      </c>
      <c r="J89" s="11">
        <f>IF(A89="","",A89+7)</f>
        <v/>
      </c>
      <c r="K89" s="7" t="n"/>
    </row>
    <row r="90" ht="34" customHeight="1">
      <c r="A90" s="13" t="n"/>
      <c r="B90" s="10" t="n"/>
      <c r="C90" s="10" t="n"/>
      <c r="D90" s="10" t="n"/>
      <c r="E90" s="10" t="n"/>
      <c r="F90" s="10" t="n"/>
      <c r="G90" s="10" t="n"/>
      <c r="H90" s="13">
        <f>IF(A90="","",A90+1)</f>
        <v/>
      </c>
      <c r="I90" s="13">
        <f>IF(A90="","",A90+3)</f>
        <v/>
      </c>
      <c r="J90" s="13">
        <f>IF(A90="","",A90+7)</f>
        <v/>
      </c>
      <c r="K90" s="10" t="n"/>
    </row>
    <row r="91" ht="34" customHeight="1">
      <c r="A91" s="11" t="n"/>
      <c r="B91" s="7" t="n"/>
      <c r="C91" s="7" t="n"/>
      <c r="D91" s="7" t="n"/>
      <c r="E91" s="7" t="n"/>
      <c r="F91" s="7" t="n"/>
      <c r="G91" s="7" t="n"/>
      <c r="H91" s="11">
        <f>IF(A91="","",A91+1)</f>
        <v/>
      </c>
      <c r="I91" s="11">
        <f>IF(A91="","",A91+3)</f>
        <v/>
      </c>
      <c r="J91" s="11">
        <f>IF(A91="","",A91+7)</f>
        <v/>
      </c>
      <c r="K91" s="7" t="n"/>
    </row>
    <row r="92" ht="34" customHeight="1">
      <c r="A92" s="13" t="n"/>
      <c r="B92" s="10" t="n"/>
      <c r="C92" s="10" t="n"/>
      <c r="D92" s="10" t="n"/>
      <c r="E92" s="10" t="n"/>
      <c r="F92" s="10" t="n"/>
      <c r="G92" s="10" t="n"/>
      <c r="H92" s="13">
        <f>IF(A92="","",A92+1)</f>
        <v/>
      </c>
      <c r="I92" s="13">
        <f>IF(A92="","",A92+3)</f>
        <v/>
      </c>
      <c r="J92" s="13">
        <f>IF(A92="","",A92+7)</f>
        <v/>
      </c>
      <c r="K92" s="10" t="n"/>
    </row>
    <row r="93" ht="34" customHeight="1">
      <c r="A93" s="11" t="n"/>
      <c r="B93" s="7" t="n"/>
      <c r="C93" s="7" t="n"/>
      <c r="D93" s="7" t="n"/>
      <c r="E93" s="7" t="n"/>
      <c r="F93" s="7" t="n"/>
      <c r="G93" s="7" t="n"/>
      <c r="H93" s="11">
        <f>IF(A93="","",A93+1)</f>
        <v/>
      </c>
      <c r="I93" s="11">
        <f>IF(A93="","",A93+3)</f>
        <v/>
      </c>
      <c r="J93" s="11">
        <f>IF(A93="","",A93+7)</f>
        <v/>
      </c>
      <c r="K93" s="7" t="n"/>
    </row>
    <row r="94" ht="34" customHeight="1">
      <c r="A94" s="13" t="n"/>
      <c r="B94" s="10" t="n"/>
      <c r="C94" s="10" t="n"/>
      <c r="D94" s="10" t="n"/>
      <c r="E94" s="10" t="n"/>
      <c r="F94" s="10" t="n"/>
      <c r="G94" s="10" t="n"/>
      <c r="H94" s="13">
        <f>IF(A94="","",A94+1)</f>
        <v/>
      </c>
      <c r="I94" s="13">
        <f>IF(A94="","",A94+3)</f>
        <v/>
      </c>
      <c r="J94" s="13">
        <f>IF(A94="","",A94+7)</f>
        <v/>
      </c>
      <c r="K94" s="10" t="n"/>
    </row>
    <row r="95" ht="34" customHeight="1">
      <c r="A95" s="11" t="n"/>
      <c r="B95" s="7" t="n"/>
      <c r="C95" s="7" t="n"/>
      <c r="D95" s="7" t="n"/>
      <c r="E95" s="7" t="n"/>
      <c r="F95" s="7" t="n"/>
      <c r="G95" s="7" t="n"/>
      <c r="H95" s="11">
        <f>IF(A95="","",A95+1)</f>
        <v/>
      </c>
      <c r="I95" s="11">
        <f>IF(A95="","",A95+3)</f>
        <v/>
      </c>
      <c r="J95" s="11">
        <f>IF(A95="","",A95+7)</f>
        <v/>
      </c>
      <c r="K95" s="7" t="n"/>
    </row>
    <row r="96" ht="34" customHeight="1">
      <c r="A96" s="13" t="n"/>
      <c r="B96" s="10" t="n"/>
      <c r="C96" s="10" t="n"/>
      <c r="D96" s="10" t="n"/>
      <c r="E96" s="10" t="n"/>
      <c r="F96" s="10" t="n"/>
      <c r="G96" s="10" t="n"/>
      <c r="H96" s="13">
        <f>IF(A96="","",A96+1)</f>
        <v/>
      </c>
      <c r="I96" s="13">
        <f>IF(A96="","",A96+3)</f>
        <v/>
      </c>
      <c r="J96" s="13">
        <f>IF(A96="","",A96+7)</f>
        <v/>
      </c>
      <c r="K96" s="10" t="n"/>
    </row>
    <row r="97" ht="34" customHeight="1">
      <c r="A97" s="11" t="n"/>
      <c r="B97" s="7" t="n"/>
      <c r="C97" s="7" t="n"/>
      <c r="D97" s="7" t="n"/>
      <c r="E97" s="7" t="n"/>
      <c r="F97" s="7" t="n"/>
      <c r="G97" s="7" t="n"/>
      <c r="H97" s="11">
        <f>IF(A97="","",A97+1)</f>
        <v/>
      </c>
      <c r="I97" s="11">
        <f>IF(A97="","",A97+3)</f>
        <v/>
      </c>
      <c r="J97" s="11">
        <f>IF(A97="","",A97+7)</f>
        <v/>
      </c>
      <c r="K97" s="7" t="n"/>
    </row>
    <row r="98" ht="34" customHeight="1">
      <c r="A98" s="13" t="n"/>
      <c r="B98" s="10" t="n"/>
      <c r="C98" s="10" t="n"/>
      <c r="D98" s="10" t="n"/>
      <c r="E98" s="10" t="n"/>
      <c r="F98" s="10" t="n"/>
      <c r="G98" s="10" t="n"/>
      <c r="H98" s="13">
        <f>IF(A98="","",A98+1)</f>
        <v/>
      </c>
      <c r="I98" s="13">
        <f>IF(A98="","",A98+3)</f>
        <v/>
      </c>
      <c r="J98" s="13">
        <f>IF(A98="","",A98+7)</f>
        <v/>
      </c>
      <c r="K98" s="10" t="n"/>
    </row>
    <row r="99" ht="34" customHeight="1">
      <c r="A99" s="11" t="n"/>
      <c r="B99" s="7" t="n"/>
      <c r="C99" s="7" t="n"/>
      <c r="D99" s="7" t="n"/>
      <c r="E99" s="7" t="n"/>
      <c r="F99" s="7" t="n"/>
      <c r="G99" s="7" t="n"/>
      <c r="H99" s="11">
        <f>IF(A99="","",A99+1)</f>
        <v/>
      </c>
      <c r="I99" s="11">
        <f>IF(A99="","",A99+3)</f>
        <v/>
      </c>
      <c r="J99" s="11">
        <f>IF(A99="","",A99+7)</f>
        <v/>
      </c>
      <c r="K99" s="7" t="n"/>
    </row>
    <row r="100" ht="34" customHeight="1">
      <c r="A100" s="13" t="n"/>
      <c r="B100" s="10" t="n"/>
      <c r="C100" s="10" t="n"/>
      <c r="D100" s="10" t="n"/>
      <c r="E100" s="10" t="n"/>
      <c r="F100" s="10" t="n"/>
      <c r="G100" s="10" t="n"/>
      <c r="H100" s="13">
        <f>IF(A100="","",A100+1)</f>
        <v/>
      </c>
      <c r="I100" s="13">
        <f>IF(A100="","",A100+3)</f>
        <v/>
      </c>
      <c r="J100" s="13">
        <f>IF(A100="","",A100+7)</f>
        <v/>
      </c>
      <c r="K100" s="10" t="n"/>
    </row>
    <row r="101" ht="34" customHeight="1">
      <c r="A101" s="11" t="n"/>
      <c r="B101" s="7" t="n"/>
      <c r="C101" s="7" t="n"/>
      <c r="D101" s="7" t="n"/>
      <c r="E101" s="7" t="n"/>
      <c r="F101" s="7" t="n"/>
      <c r="G101" s="7" t="n"/>
      <c r="H101" s="11">
        <f>IF(A101="","",A101+1)</f>
        <v/>
      </c>
      <c r="I101" s="11">
        <f>IF(A101="","",A101+3)</f>
        <v/>
      </c>
      <c r="J101" s="11">
        <f>IF(A101="","",A101+7)</f>
        <v/>
      </c>
      <c r="K101" s="7" t="n"/>
    </row>
    <row r="102" ht="34" customHeight="1">
      <c r="A102" s="13" t="n"/>
      <c r="B102" s="10" t="n"/>
      <c r="C102" s="10" t="n"/>
      <c r="D102" s="10" t="n"/>
      <c r="E102" s="10" t="n"/>
      <c r="F102" s="10" t="n"/>
      <c r="G102" s="10" t="n"/>
      <c r="H102" s="13">
        <f>IF(A102="","",A102+1)</f>
        <v/>
      </c>
      <c r="I102" s="13">
        <f>IF(A102="","",A102+3)</f>
        <v/>
      </c>
      <c r="J102" s="13">
        <f>IF(A102="","",A102+7)</f>
        <v/>
      </c>
      <c r="K102" s="10" t="n"/>
    </row>
    <row r="103" ht="34" customHeight="1">
      <c r="A103" s="11" t="n"/>
      <c r="B103" s="7" t="n"/>
      <c r="C103" s="7" t="n"/>
      <c r="D103" s="7" t="n"/>
      <c r="E103" s="7" t="n"/>
      <c r="F103" s="7" t="n"/>
      <c r="G103" s="7" t="n"/>
      <c r="H103" s="11">
        <f>IF(A103="","",A103+1)</f>
        <v/>
      </c>
      <c r="I103" s="11">
        <f>IF(A103="","",A103+3)</f>
        <v/>
      </c>
      <c r="J103" s="11">
        <f>IF(A103="","",A103+7)</f>
        <v/>
      </c>
      <c r="K103" s="7" t="n"/>
    </row>
  </sheetData>
  <autoFilter ref="A3:K103"/>
  <mergeCells count="2">
    <mergeCell ref="A2:K2"/>
    <mergeCell ref="A1:K1"/>
  </mergeCells>
  <dataValidations count="2">
    <dataValidation sqref="D4:D103" showDropDown="0" showInputMessage="0" showErrorMessage="0" allowBlank="1" type="list">
      <formula1>"词汇,句子结构,听辨,定位/同义替换,推断/主旨,语法表达,时间分配,注意力"</formula1>
    </dataValidation>
    <dataValidation sqref="B4:B103" showDropDown="0" showInputMessage="0" showErrorMessage="0" allowBlank="1" type="list">
      <formula1>"六级听力,六级阅读,六级写作,六级翻译,考研基础,词汇"</formula1>
    </dataValidation>
  </dataValidations>
  <pageMargins left="0.25" right="0.25" top="0.45" bottom="0.45" header="0.5" footer="0.5"/>
  <pageSetup orientation="landscape" paperSize="9" fitToHeight="0" fitToWidth="1"/>
  <headerFooter>
    <oddHeader/>
    <oddFooter>&amp;C&amp;8 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44760"/>
    <outlinePr summaryBelow="1" summaryRight="1"/>
    <pageSetUpPr fitToPage="1"/>
  </sheetPr>
  <dimension ref="A1:I8"/>
  <sheetViews>
    <sheetView showGridLines="0" zoomScale="80" workbookViewId="0">
      <pane xSplit="2" ySplit="3" topLeftCell="C4" activePane="bottomRight" state="frozen"/>
      <selection pane="topRight" activeCell="A1" sqref="A1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0" customWidth="1" min="4" max="4"/>
    <col width="20" customWidth="1" min="5" max="5"/>
    <col width="20" customWidth="1" min="6" max="6"/>
    <col width="20" customWidth="1" min="7" max="7"/>
    <col width="35" customWidth="1" min="8" max="8"/>
    <col width="35" customWidth="1" min="9" max="9"/>
  </cols>
  <sheetData>
    <row r="1" ht="38" customHeight="1">
      <c r="A1" s="1" t="inlineStr">
        <is>
          <t>每周复盘</t>
        </is>
      </c>
    </row>
    <row r="2" ht="32" customHeight="1">
      <c r="A2" s="2" t="inlineStr">
        <is>
          <t>关注实际证据和下一步动作；第1周记录基线，第4周与未做过的同类型材料比较。</t>
        </is>
      </c>
    </row>
    <row r="3" ht="32" customHeight="1">
      <c r="A3" s="3" t="inlineStr">
        <is>
          <t>周次</t>
        </is>
      </c>
      <c r="B3" s="3" t="inlineStr">
        <is>
          <t>日期</t>
        </is>
      </c>
      <c r="C3" s="3" t="inlineStr">
        <is>
          <t>本周训练目标</t>
        </is>
      </c>
      <c r="D3" s="3" t="inlineStr">
        <is>
          <t>本周新词抽测（正确/总数）</t>
        </is>
      </c>
      <c r="E3" s="3" t="inlineStr">
        <is>
          <t>听力表现/正确率/用时</t>
        </is>
      </c>
      <c r="F3" s="3" t="inlineStr">
        <is>
          <t>阅读表现/正确率/用时</t>
        </is>
      </c>
      <c r="G3" s="3" t="inlineStr">
        <is>
          <t>写作/翻译证据</t>
        </is>
      </c>
      <c r="H3" s="3" t="inlineStr">
        <is>
          <t>最常见的错误（最多3类）</t>
        </is>
      </c>
      <c r="I3" s="3" t="inlineStr">
        <is>
          <t>下周只优先改进的一件事</t>
        </is>
      </c>
    </row>
    <row r="4" ht="76" customHeight="1">
      <c r="A4" s="7" t="inlineStr">
        <is>
          <t>第1周</t>
        </is>
      </c>
      <c r="B4" s="7" t="inlineStr">
        <is>
          <t>10/19–10/25</t>
        </is>
      </c>
      <c r="C4" s="7" t="inlineStr">
        <is>
          <t>建立固定流程，完成听力、阅读、写作、翻译基线；所有正确率和时间只记录，不设不合理的起点门槛。</t>
        </is>
      </c>
      <c r="D4" s="7" t="inlineStr"/>
      <c r="E4" s="7" t="inlineStr"/>
      <c r="F4" s="7" t="inlineStr"/>
      <c r="G4" s="7" t="inlineStr"/>
      <c r="H4" s="7" t="inlineStr"/>
      <c r="I4" s="7" t="inlineStr"/>
    </row>
    <row r="5" ht="76" customHeight="1">
      <c r="A5" s="7" t="inlineStr">
        <is>
          <t>第2周</t>
        </is>
      </c>
      <c r="B5" s="7" t="inlineStr">
        <is>
          <t>10/26–11/01</t>
        </is>
      </c>
      <c r="C5" s="7" t="inlineStr">
        <is>
          <t>复习旧词；听力找信号词和漏听原因；阅读每题都标原文证据；熟悉长句主干。</t>
        </is>
      </c>
      <c r="D5" s="7" t="inlineStr"/>
      <c r="E5" s="7" t="inlineStr"/>
      <c r="F5" s="7" t="inlineStr"/>
      <c r="G5" s="7" t="inlineStr"/>
      <c r="H5" s="7" t="inlineStr"/>
      <c r="I5" s="7" t="inlineStr"/>
    </row>
    <row r="6" ht="76" customHeight="1">
      <c r="A6" s="7" t="inlineStr">
        <is>
          <t>第3周</t>
        </is>
      </c>
      <c r="B6" s="7" t="inlineStr">
        <is>
          <t>11/02–11/08</t>
        </is>
      </c>
      <c r="C6" s="7" t="inlineStr">
        <is>
          <t>增加计时与连续作答；比较正确题但耗时、做错两类题，改善一个主要瓶颈。</t>
        </is>
      </c>
      <c r="D6" s="7" t="inlineStr"/>
      <c r="E6" s="7" t="inlineStr"/>
      <c r="F6" s="7" t="inlineStr"/>
      <c r="G6" s="7" t="inlineStr"/>
      <c r="H6" s="7" t="inlineStr"/>
      <c r="I6" s="7" t="inlineStr"/>
    </row>
    <row r="7" ht="76" customHeight="1">
      <c r="A7" s="7" t="inlineStr">
        <is>
          <t>第4周</t>
        </is>
      </c>
      <c r="B7" s="7" t="inlineStr">
        <is>
          <t>11/09–11/15</t>
        </is>
      </c>
      <c r="C7" s="7" t="inlineStr">
        <is>
          <t>用新且相当难度的材料复测；并排比较四项证据，决定下一轮一个优先动作。</t>
        </is>
      </c>
      <c r="D7" s="7" t="inlineStr"/>
      <c r="E7" s="7" t="inlineStr"/>
      <c r="F7" s="7" t="inlineStr"/>
      <c r="G7" s="7" t="inlineStr"/>
      <c r="H7" s="7" t="inlineStr"/>
      <c r="I7" s="7" t="inlineStr"/>
    </row>
    <row r="8" ht="44" customHeight="1">
      <c r="A8" s="15" t="inlineStr">
        <is>
          <t>四周结论</t>
        </is>
      </c>
      <c r="B8" s="16" t="inlineStr">
        <is>
          <t>最终结果不只看分数：写出听力、阅读、写作、翻译各一项具体证据；下一阶段只增加一项最能解决真实短板的训练。</t>
        </is>
      </c>
    </row>
  </sheetData>
  <mergeCells count="3">
    <mergeCell ref="A1:I1"/>
    <mergeCell ref="B8:I8"/>
    <mergeCell ref="A2:I2"/>
  </mergeCells>
  <pageMargins left="0.25" right="0.25" top="0.45" bottom="0.45" header="0.5" footer="0.5"/>
  <pageSetup orientation="landscape" paperSize="9" fitToHeight="0" fitToWidth="1"/>
  <headerFooter>
    <oddHeader/>
    <oddFooter>&amp;C&amp;8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2026-10-17T12:01:14Z</dcterms:created>
  <dcterms:modified xmlns:dcterms="http://purl.org/dc/terms/" xmlns:xsi="http://www.w3.org/2001/XMLSchema-instance" xsi:type="dcterms:W3CDTF">2026-10-17T12:01:14Z</dcterms:modified>
</cp:coreProperties>
</file>